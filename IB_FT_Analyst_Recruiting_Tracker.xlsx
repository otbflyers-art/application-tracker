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Job Tracker" sheetId="1" state="visible" r:id="rId1"/>
    <sheet name="Bank Coverage Universe" sheetId="2" state="visible" r:id="rId2"/>
    <sheet name="Search Log" sheetId="3" state="visible" r:id="rId3"/>
  </sheets>
  <definedNames>
    <definedName name="_xlnm._FilterDatabase" localSheetId="1" hidden="1">'Bank Coverage Universe'!$A$3:$K$46</definedName>
    <definedName name="_xlnm._FilterDatabase" localSheetId="2" hidden="1">'Search Log'!$A$3:$M$36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7"/>
      </patternFill>
    </fill>
    <fill>
      <patternFill patternType="solid">
        <fgColor rgb="00EBF3FF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JobTracker" displayName="JobTracker" ref="A3:AK59" headerRowCount="1">
  <autoFilter ref="A3:AK59"/>
  <tableColumns count="37">
    <tableColumn id="1" name="#"/>
    <tableColumn id="2" name="Bank Name"/>
    <tableColumn id="3" name="Bank Category"/>
    <tableColumn id="4" name="Division / Group"/>
    <tableColumn id="5" name="Job Title"/>
    <tableColumn id="6" name="Job Type"/>
    <tableColumn id="7" name="Class Year"/>
    <tableColumn id="8" name="Location"/>
    <tableColumn id="9" name="Office / City"/>
    <tableColumn id="10" name="Region"/>
    <tableColumn id="11" name="Posting Status"/>
    <tableColumn id="12" name="Priority"/>
    <tableColumn id="13" name="Fit Score"/>
    <tableColumn id="14" name="Application Link"/>
    <tableColumn id="15" name="Careers Website"/>
    <tableColumn id="16" name="Req ID"/>
    <tableColumn id="17" name="Date First Found"/>
    <tableColumn id="18" name="Date Last Checked"/>
    <tableColumn id="19" name="Posting Date"/>
    <tableColumn id="20" name="App Deadline"/>
    <tableColumn id="21" name="Est. Deadline"/>
    <tableColumn id="22" name="Days Since Posted"/>
    <tableColumn id="23" name="Notes on Role"/>
    <tableColumn id="24" name="Eligibility Notes"/>
    <tableColumn id="25" name="Sponsorship / Work Auth"/>
    <tableColumn id="26" name="Resume Version"/>
    <tableColumn id="27" name="Cover Letter?"/>
    <tableColumn id="28" name="Transcript?"/>
    <tableColumn id="29" name="Networking Contact"/>
    <tableColumn id="30" name="Contact Email / LinkedIn"/>
    <tableColumn id="31" name="Last Touch"/>
    <tableColumn id="32" name="Follow-Up?"/>
    <tableColumn id="33" name="App Submitted Date"/>
    <tableColumn id="34" name="Interview Status"/>
    <tableColumn id="35" name="Next Step"/>
    <tableColumn id="36" name="Final Outcome"/>
    <tableColumn id="37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</cols>
  <sheetData>
    <row r="1" ht="22" customHeight="1">
      <c r="A1" s="1" t="inlineStr">
        <is>
          <t>Master Job Tracker — Class of 2027 Investment Banking Full-Time Analyst Recruiting</t>
        </is>
      </c>
    </row>
    <row r="2" ht="16" customHeight="1">
      <c r="A2" s="2" t="inlineStr">
        <is>
          <t>Tracker initialized: 2026-09-01  |  Last auto-updated: 2026-09-01 19:54  |  56 new role(s) added</t>
        </is>
      </c>
    </row>
    <row r="3">
      <c r="A3" s="3" t="inlineStr">
        <is>
          <t>#</t>
        </is>
      </c>
      <c r="B3" s="3" t="inlineStr">
        <is>
          <t>Bank Name</t>
        </is>
      </c>
      <c r="C3" s="3" t="inlineStr">
        <is>
          <t>Bank Category</t>
        </is>
      </c>
      <c r="D3" s="3" t="inlineStr">
        <is>
          <t>Division / Group</t>
        </is>
      </c>
      <c r="E3" s="3" t="inlineStr">
        <is>
          <t>Job Title</t>
        </is>
      </c>
      <c r="F3" s="3" t="inlineStr">
        <is>
          <t>Job Type</t>
        </is>
      </c>
      <c r="G3" s="3" t="inlineStr">
        <is>
          <t>Class Year</t>
        </is>
      </c>
      <c r="H3" s="3" t="inlineStr">
        <is>
          <t>Location</t>
        </is>
      </c>
      <c r="I3" s="3" t="inlineStr">
        <is>
          <t>Office / City</t>
        </is>
      </c>
      <c r="J3" s="3" t="inlineStr">
        <is>
          <t>Region</t>
        </is>
      </c>
      <c r="K3" s="3" t="inlineStr">
        <is>
          <t>Posting Status</t>
        </is>
      </c>
      <c r="L3" s="3" t="inlineStr">
        <is>
          <t>Priority</t>
        </is>
      </c>
      <c r="M3" s="3" t="inlineStr">
        <is>
          <t>Fit Score</t>
        </is>
      </c>
      <c r="N3" s="3" t="inlineStr">
        <is>
          <t>Application Link</t>
        </is>
      </c>
      <c r="O3" s="3" t="inlineStr">
        <is>
          <t>Careers Website</t>
        </is>
      </c>
      <c r="P3" s="3" t="inlineStr">
        <is>
          <t>Req ID</t>
        </is>
      </c>
      <c r="Q3" s="3" t="inlineStr">
        <is>
          <t>Date First Found</t>
        </is>
      </c>
      <c r="R3" s="3" t="inlineStr">
        <is>
          <t>Date Last Checked</t>
        </is>
      </c>
      <c r="S3" s="3" t="inlineStr">
        <is>
          <t>Posting Date</t>
        </is>
      </c>
      <c r="T3" s="3" t="inlineStr">
        <is>
          <t>App Deadline</t>
        </is>
      </c>
      <c r="U3" s="3" t="inlineStr">
        <is>
          <t>Est. Deadline</t>
        </is>
      </c>
      <c r="V3" s="3" t="inlineStr">
        <is>
          <t>Days Since Posted</t>
        </is>
      </c>
      <c r="W3" s="3" t="inlineStr">
        <is>
          <t>Notes on Role</t>
        </is>
      </c>
      <c r="X3" s="3" t="inlineStr">
        <is>
          <t>Eligibility Notes</t>
        </is>
      </c>
      <c r="Y3" s="3" t="inlineStr">
        <is>
          <t>Sponsorship / Work Auth</t>
        </is>
      </c>
      <c r="Z3" s="3" t="inlineStr">
        <is>
          <t>Resume Version</t>
        </is>
      </c>
      <c r="AA3" s="3" t="inlineStr">
        <is>
          <t>Cover Letter?</t>
        </is>
      </c>
      <c r="AB3" s="3" t="inlineStr">
        <is>
          <t>Transcript?</t>
        </is>
      </c>
      <c r="AC3" s="3" t="inlineStr">
        <is>
          <t>Networking Contact</t>
        </is>
      </c>
      <c r="AD3" s="3" t="inlineStr">
        <is>
          <t>Contact Email / LinkedIn</t>
        </is>
      </c>
      <c r="AE3" s="3" t="inlineStr">
        <is>
          <t>Last Touch</t>
        </is>
      </c>
      <c r="AF3" s="3" t="inlineStr">
        <is>
          <t>Follow-Up?</t>
        </is>
      </c>
      <c r="AG3" s="3" t="inlineStr">
        <is>
          <t>App Submitted Date</t>
        </is>
      </c>
      <c r="AH3" s="3" t="inlineStr">
        <is>
          <t>Interview Status</t>
        </is>
      </c>
      <c r="AI3" s="3" t="inlineStr">
        <is>
          <t>Next Step</t>
        </is>
      </c>
      <c r="AJ3" s="3" t="inlineStr">
        <is>
          <t>Final Outcome</t>
        </is>
      </c>
      <c r="AK3" s="3" t="inlineStr">
        <is>
          <t>Notes</t>
        </is>
      </c>
    </row>
    <row r="4" ht="18" customHeight="1">
      <c r="A4" s="6" t="n">
        <v>1</v>
      </c>
      <c r="B4" s="7" t="inlineStr">
        <is>
          <t>Citi</t>
        </is>
      </c>
      <c r="C4" s="7" t="inlineStr">
        <is>
          <t>Bulge Bracket</t>
        </is>
      </c>
      <c r="D4" s="7" t="inlineStr">
        <is>
          <t>Investment Banking</t>
        </is>
      </c>
      <c r="E4" s="7" t="inlineStr">
        <is>
          <t>Investment Banking Senior Analyst - Industrials</t>
        </is>
      </c>
      <c r="F4" s="6" t="inlineStr">
        <is>
          <t>Full-Time Analyst</t>
        </is>
      </c>
      <c r="G4" s="7" t="inlineStr"/>
      <c r="H4" s="7" t="inlineStr">
        <is>
          <t>New York New York United States</t>
        </is>
      </c>
      <c r="I4" s="7" t="inlineStr"/>
      <c r="J4" s="7" t="inlineStr"/>
      <c r="K4" s="6" t="inlineStr">
        <is>
          <t>Open</t>
        </is>
      </c>
      <c r="L4" s="6" t="inlineStr">
        <is>
          <t>High</t>
        </is>
      </c>
      <c r="M4" s="7" t="inlineStr"/>
      <c r="N4" s="7" t="inlineStr">
        <is>
          <t>https://citi.wd5.myworkdayjobs.com/en-US/2/job/New-York-New-York-United-States/Investment-Banking-Senior-Analyst---Industrials_26990572</t>
        </is>
      </c>
      <c r="O4" s="7" t="inlineStr"/>
      <c r="P4" s="7" t="inlineStr"/>
      <c r="Q4" s="6" t="inlineStr">
        <is>
          <t>09/01/2026</t>
        </is>
      </c>
      <c r="R4" s="6" t="inlineStr">
        <is>
          <t>09/01/2026</t>
        </is>
      </c>
      <c r="S4" s="7" t="inlineStr"/>
      <c r="T4" s="7" t="inlineStr"/>
      <c r="U4" s="7" t="inlineStr"/>
      <c r="V4" s="8">
        <f>IF(S4="","",TODAY()-S4)</f>
        <v/>
      </c>
      <c r="W4" s="7" t="inlineStr"/>
      <c r="X4" s="7" t="inlineStr"/>
      <c r="Y4" s="7" t="inlineStr"/>
      <c r="Z4" s="7" t="inlineStr"/>
      <c r="AA4" s="7" t="inlineStr"/>
      <c r="AB4" s="7" t="inlineStr"/>
      <c r="AC4" s="7" t="inlineStr"/>
      <c r="AD4" s="7" t="inlineStr"/>
      <c r="AE4" s="7" t="inlineStr"/>
      <c r="AF4" s="7" t="inlineStr"/>
      <c r="AG4" s="7" t="inlineStr"/>
      <c r="AH4" s="7" t="inlineStr"/>
      <c r="AI4" s="7" t="inlineStr"/>
      <c r="AJ4" s="7" t="inlineStr"/>
      <c r="AK4" s="7" t="inlineStr"/>
    </row>
    <row r="5" ht="18" customHeight="1">
      <c r="A5" s="6" t="n">
        <v>2</v>
      </c>
      <c r="B5" s="7" t="inlineStr">
        <is>
          <t>Citi</t>
        </is>
      </c>
      <c r="C5" s="7" t="inlineStr">
        <is>
          <t>Bulge Bracket</t>
        </is>
      </c>
      <c r="D5" s="7" t="inlineStr">
        <is>
          <t>Investment Banking</t>
        </is>
      </c>
      <c r="E5" s="7" t="inlineStr">
        <is>
          <t>Investment Banking Senior Analyst - M&amp;A</t>
        </is>
      </c>
      <c r="F5" s="6" t="inlineStr">
        <is>
          <t>Full-Time Analyst</t>
        </is>
      </c>
      <c r="G5" s="7" t="inlineStr"/>
      <c r="H5" s="7" t="inlineStr">
        <is>
          <t>New York New York United States</t>
        </is>
      </c>
      <c r="I5" s="7" t="inlineStr"/>
      <c r="J5" s="7" t="inlineStr"/>
      <c r="K5" s="6" t="inlineStr">
        <is>
          <t>Open</t>
        </is>
      </c>
      <c r="L5" s="6" t="inlineStr">
        <is>
          <t>High</t>
        </is>
      </c>
      <c r="M5" s="7" t="inlineStr"/>
      <c r="N5" s="7" t="inlineStr">
        <is>
          <t>https://citi.wd5.myworkdayjobs.com/en-US/2/job/New-York-New-York-United-States/Investment-Banking-Senior-Analyst---M-A_26970880</t>
        </is>
      </c>
      <c r="O5" s="7" t="inlineStr"/>
      <c r="P5" s="7" t="inlineStr"/>
      <c r="Q5" s="6" t="inlineStr">
        <is>
          <t>09/01/2026</t>
        </is>
      </c>
      <c r="R5" s="6" t="inlineStr">
        <is>
          <t>09/01/2026</t>
        </is>
      </c>
      <c r="S5" s="7" t="inlineStr"/>
      <c r="T5" s="7" t="inlineStr"/>
      <c r="U5" s="7" t="inlineStr"/>
      <c r="V5" s="8">
        <f>IF(S5="","",TODAY()-S5)</f>
        <v/>
      </c>
      <c r="W5" s="7" t="inlineStr"/>
      <c r="X5" s="7" t="inlineStr"/>
      <c r="Y5" s="7" t="inlineStr"/>
      <c r="Z5" s="7" t="inlineStr"/>
      <c r="AA5" s="7" t="inlineStr"/>
      <c r="AB5" s="7" t="inlineStr"/>
      <c r="AC5" s="7" t="inlineStr"/>
      <c r="AD5" s="7" t="inlineStr"/>
      <c r="AE5" s="7" t="inlineStr"/>
      <c r="AF5" s="7" t="inlineStr"/>
      <c r="AG5" s="7" t="inlineStr"/>
      <c r="AH5" s="7" t="inlineStr"/>
      <c r="AI5" s="7" t="inlineStr"/>
      <c r="AJ5" s="7" t="inlineStr"/>
      <c r="AK5" s="7" t="inlineStr"/>
    </row>
    <row r="6" ht="18" customHeight="1">
      <c r="A6" s="6" t="n">
        <v>3</v>
      </c>
      <c r="B6" s="7" t="inlineStr">
        <is>
          <t>Citi</t>
        </is>
      </c>
      <c r="C6" s="7" t="inlineStr">
        <is>
          <t>Bulge Bracket</t>
        </is>
      </c>
      <c r="D6" s="7" t="inlineStr">
        <is>
          <t>Investment Banking</t>
        </is>
      </c>
      <c r="E6" s="7" t="inlineStr">
        <is>
          <t>Investment Banking Sr Analyst - Financial Institutions</t>
        </is>
      </c>
      <c r="F6" s="6" t="inlineStr">
        <is>
          <t>Full-Time Analyst</t>
        </is>
      </c>
      <c r="G6" s="7" t="inlineStr"/>
      <c r="H6" s="7" t="inlineStr">
        <is>
          <t>New York New York United States</t>
        </is>
      </c>
      <c r="I6" s="7" t="inlineStr"/>
      <c r="J6" s="7" t="inlineStr"/>
      <c r="K6" s="6" t="inlineStr">
        <is>
          <t>Open</t>
        </is>
      </c>
      <c r="L6" s="6" t="inlineStr">
        <is>
          <t>High</t>
        </is>
      </c>
      <c r="M6" s="7" t="inlineStr"/>
      <c r="N6" s="7" t="inlineStr">
        <is>
          <t>https://citi.wd5.myworkdayjobs.com/en-US/2/job/New-York-New-York-United-States/Investment-Banking-Sr-Analyst---Financial-Institutions_26985022</t>
        </is>
      </c>
      <c r="O6" s="7" t="inlineStr"/>
      <c r="P6" s="7" t="inlineStr"/>
      <c r="Q6" s="6" t="inlineStr">
        <is>
          <t>09/01/2026</t>
        </is>
      </c>
      <c r="R6" s="6" t="inlineStr">
        <is>
          <t>09/01/2026</t>
        </is>
      </c>
      <c r="S6" s="7" t="inlineStr"/>
      <c r="T6" s="7" t="inlineStr"/>
      <c r="U6" s="7" t="inlineStr"/>
      <c r="V6" s="8">
        <f>IF(S6="","",TODAY()-S6)</f>
        <v/>
      </c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7" t="inlineStr"/>
      <c r="AF6" s="7" t="inlineStr"/>
      <c r="AG6" s="7" t="inlineStr"/>
      <c r="AH6" s="7" t="inlineStr"/>
      <c r="AI6" s="7" t="inlineStr"/>
      <c r="AJ6" s="7" t="inlineStr"/>
      <c r="AK6" s="7" t="inlineStr"/>
    </row>
    <row r="7" ht="18" customHeight="1">
      <c r="A7" s="6" t="n">
        <v>4</v>
      </c>
      <c r="B7" s="7" t="inlineStr">
        <is>
          <t>Citi</t>
        </is>
      </c>
      <c r="C7" s="7" t="inlineStr">
        <is>
          <t>Bulge Bracket</t>
        </is>
      </c>
      <c r="D7" s="7" t="inlineStr">
        <is>
          <t>Investment Banking</t>
        </is>
      </c>
      <c r="E7" s="7" t="inlineStr">
        <is>
          <t>Investment Banking Sr Analyst - Healthcare</t>
        </is>
      </c>
      <c r="F7" s="6" t="inlineStr">
        <is>
          <t>Full-Time Analyst</t>
        </is>
      </c>
      <c r="G7" s="7" t="inlineStr"/>
      <c r="H7" s="7" t="inlineStr">
        <is>
          <t>New York New York United States</t>
        </is>
      </c>
      <c r="I7" s="7" t="inlineStr"/>
      <c r="J7" s="7" t="inlineStr"/>
      <c r="K7" s="6" t="inlineStr">
        <is>
          <t>Open</t>
        </is>
      </c>
      <c r="L7" s="6" t="inlineStr">
        <is>
          <t>High</t>
        </is>
      </c>
      <c r="M7" s="7" t="inlineStr"/>
      <c r="N7" s="7" t="inlineStr">
        <is>
          <t>https://citi.wd5.myworkdayjobs.com/en-US/2/job/New-York-New-York-United-States/Investment-Banking-Sr-Analyst---Healthcare_26980270</t>
        </is>
      </c>
      <c r="O7" s="7" t="inlineStr"/>
      <c r="P7" s="7" t="inlineStr"/>
      <c r="Q7" s="6" t="inlineStr">
        <is>
          <t>09/01/2026</t>
        </is>
      </c>
      <c r="R7" s="6" t="inlineStr">
        <is>
          <t>09/01/2026</t>
        </is>
      </c>
      <c r="S7" s="7" t="inlineStr"/>
      <c r="T7" s="7" t="inlineStr"/>
      <c r="U7" s="7" t="inlineStr"/>
      <c r="V7" s="8">
        <f>IF(S7="","",TODAY()-S7)</f>
        <v/>
      </c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7" t="inlineStr"/>
      <c r="AF7" s="7" t="inlineStr"/>
      <c r="AG7" s="7" t="inlineStr"/>
      <c r="AH7" s="7" t="inlineStr"/>
      <c r="AI7" s="7" t="inlineStr"/>
      <c r="AJ7" s="7" t="inlineStr"/>
      <c r="AK7" s="7" t="inlineStr"/>
    </row>
    <row r="8" ht="18" customHeight="1">
      <c r="A8" s="6" t="n">
        <v>5</v>
      </c>
      <c r="B8" s="7" t="inlineStr">
        <is>
          <t>Citi</t>
        </is>
      </c>
      <c r="C8" s="7" t="inlineStr">
        <is>
          <t>Bulge Bracket</t>
        </is>
      </c>
      <c r="D8" s="7" t="inlineStr">
        <is>
          <t>Investment Banking</t>
        </is>
      </c>
      <c r="E8" s="7" t="inlineStr">
        <is>
          <t>Investment Banking, ECM - Analyst/ Senior Analyst - North America and LATAM Coverage</t>
        </is>
      </c>
      <c r="F8" s="6" t="inlineStr">
        <is>
          <t>Full-Time Analyst</t>
        </is>
      </c>
      <c r="G8" s="7" t="inlineStr"/>
      <c r="H8" s="7" t="inlineStr">
        <is>
          <t>New York New York United States</t>
        </is>
      </c>
      <c r="I8" s="7" t="inlineStr"/>
      <c r="J8" s="7" t="inlineStr"/>
      <c r="K8" s="6" t="inlineStr">
        <is>
          <t>Open</t>
        </is>
      </c>
      <c r="L8" s="6" t="inlineStr">
        <is>
          <t>High</t>
        </is>
      </c>
      <c r="M8" s="7" t="inlineStr"/>
      <c r="N8" s="7" t="inlineStr">
        <is>
          <t>https://citi.wd5.myworkdayjobs.com/en-US/2/job/New-York-New-York-United-States/Investment-Banking--ECM---Analyst--Senior-Analyst---North-America-and-LATAM-Coverage_26980777</t>
        </is>
      </c>
      <c r="O8" s="7" t="inlineStr"/>
      <c r="P8" s="7" t="inlineStr"/>
      <c r="Q8" s="6" t="inlineStr">
        <is>
          <t>09/01/2026</t>
        </is>
      </c>
      <c r="R8" s="6" t="inlineStr">
        <is>
          <t>09/01/2026</t>
        </is>
      </c>
      <c r="S8" s="7" t="inlineStr"/>
      <c r="T8" s="7" t="inlineStr"/>
      <c r="U8" s="7" t="inlineStr"/>
      <c r="V8" s="8">
        <f>IF(S8="","",TODAY()-S8)</f>
        <v/>
      </c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7" t="inlineStr"/>
      <c r="AF8" s="7" t="inlineStr"/>
      <c r="AG8" s="7" t="inlineStr"/>
      <c r="AH8" s="7" t="inlineStr"/>
      <c r="AI8" s="7" t="inlineStr"/>
      <c r="AJ8" s="7" t="inlineStr"/>
      <c r="AK8" s="7" t="inlineStr"/>
    </row>
    <row r="9" ht="18" customHeight="1">
      <c r="A9" s="6" t="n">
        <v>6</v>
      </c>
      <c r="B9" s="7" t="inlineStr">
        <is>
          <t>Guggenheim Securities</t>
        </is>
      </c>
      <c r="C9" s="7" t="inlineStr">
        <is>
          <t>Elite Boutique</t>
        </is>
      </c>
      <c r="D9" s="7" t="inlineStr">
        <is>
          <t>Investment Banking</t>
        </is>
      </c>
      <c r="E9" s="7" t="inlineStr">
        <is>
          <t>2027 Guggenheim Securities Investment Banking Analyst - Richmond Healthcare Services (Pharma Services)</t>
        </is>
      </c>
      <c r="F9" s="6" t="inlineStr">
        <is>
          <t>Full-Time Analyst</t>
        </is>
      </c>
      <c r="G9" s="7" t="inlineStr"/>
      <c r="H9" s="7" t="inlineStr">
        <is>
          <t>Richmond, VA – U.S.</t>
        </is>
      </c>
      <c r="I9" s="7" t="inlineStr"/>
      <c r="J9" s="7" t="inlineStr"/>
      <c r="K9" s="6" t="inlineStr">
        <is>
          <t>Open</t>
        </is>
      </c>
      <c r="L9" s="6" t="inlineStr">
        <is>
          <t>High</t>
        </is>
      </c>
      <c r="M9" s="7" t="inlineStr"/>
      <c r="N9" s="7" t="inlineStr">
        <is>
          <t>https://guggenheim.wd1.myworkdayjobs.com/en-US/Guggenheim_Careers_Campus/job/Richmond-VA--US/XMLNAME-2027-Guggenheim-Securities-Investment-Banking-Analyst---Richmond-Healthcare-Services--Pharma-Services-_14902</t>
        </is>
      </c>
      <c r="O9" s="7" t="inlineStr"/>
      <c r="P9" s="7" t="inlineStr"/>
      <c r="Q9" s="6" t="inlineStr">
        <is>
          <t>09/01/2026</t>
        </is>
      </c>
      <c r="R9" s="6" t="inlineStr">
        <is>
          <t>09/01/2026</t>
        </is>
      </c>
      <c r="S9" s="7" t="inlineStr"/>
      <c r="T9" s="7" t="inlineStr"/>
      <c r="U9" s="7" t="inlineStr"/>
      <c r="V9" s="8">
        <f>IF(S9="","",TODAY()-S9)</f>
        <v/>
      </c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7" t="inlineStr"/>
      <c r="AF9" s="7" t="inlineStr"/>
      <c r="AG9" s="7" t="inlineStr"/>
      <c r="AH9" s="7" t="inlineStr"/>
      <c r="AI9" s="7" t="inlineStr"/>
      <c r="AJ9" s="7" t="inlineStr"/>
      <c r="AK9" s="7" t="inlineStr"/>
    </row>
    <row r="10" ht="18" customHeight="1">
      <c r="A10" s="6" t="n">
        <v>7</v>
      </c>
      <c r="B10" s="7" t="inlineStr">
        <is>
          <t>Guggenheim Securities</t>
        </is>
      </c>
      <c r="C10" s="7" t="inlineStr">
        <is>
          <t>Elite Boutique</t>
        </is>
      </c>
      <c r="D10" s="7" t="inlineStr">
        <is>
          <t>Investment Banking</t>
        </is>
      </c>
      <c r="E10" s="7" t="inlineStr">
        <is>
          <t>2027 Guggenheim Securities Investment Banking Analyst – New York Capital Structure Advisory Group (Restructuring)</t>
        </is>
      </c>
      <c r="F10" s="6" t="inlineStr">
        <is>
          <t>Full-Time Analyst</t>
        </is>
      </c>
      <c r="G10" s="7" t="inlineStr"/>
      <c r="H10" s="7" t="inlineStr">
        <is>
          <t>New York City, NY – U.S.</t>
        </is>
      </c>
      <c r="I10" s="7" t="inlineStr"/>
      <c r="J10" s="7" t="inlineStr"/>
      <c r="K10" s="6" t="inlineStr">
        <is>
          <t>Open</t>
        </is>
      </c>
      <c r="L10" s="6" t="inlineStr">
        <is>
          <t>High</t>
        </is>
      </c>
      <c r="M10" s="7" t="inlineStr"/>
      <c r="N10" s="7" t="inlineStr">
        <is>
          <t>https://guggenheim.wd1.myworkdayjobs.com/en-US/Guggenheim_Careers_Campus/job/New-York-City-NY--US/XMLNAME-2027-Guggenheim-Securities-Investment-Banking-Analyst---New-York-Capital-Structure-Advisory-Group--Restructuring-_14846</t>
        </is>
      </c>
      <c r="O10" s="7" t="inlineStr"/>
      <c r="P10" s="7" t="inlineStr"/>
      <c r="Q10" s="6" t="inlineStr">
        <is>
          <t>09/01/2026</t>
        </is>
      </c>
      <c r="R10" s="6" t="inlineStr">
        <is>
          <t>09/01/2026</t>
        </is>
      </c>
      <c r="S10" s="7" t="inlineStr"/>
      <c r="T10" s="7" t="inlineStr"/>
      <c r="U10" s="7" t="inlineStr"/>
      <c r="V10" s="8">
        <f>IF(S10="","",TODAY()-S10)</f>
        <v/>
      </c>
      <c r="W10" s="7" t="inlineStr"/>
      <c r="X10" s="7" t="inlineStr"/>
      <c r="Y10" s="7" t="inlineStr"/>
      <c r="Z10" s="7" t="inlineStr"/>
      <c r="AA10" s="7" t="inlineStr"/>
      <c r="AB10" s="7" t="inlineStr"/>
      <c r="AC10" s="7" t="inlineStr"/>
      <c r="AD10" s="7" t="inlineStr"/>
      <c r="AE10" s="7" t="inlineStr"/>
      <c r="AF10" s="7" t="inlineStr"/>
      <c r="AG10" s="7" t="inlineStr"/>
      <c r="AH10" s="7" t="inlineStr"/>
      <c r="AI10" s="7" t="inlineStr"/>
      <c r="AJ10" s="7" t="inlineStr"/>
      <c r="AK10" s="7" t="inlineStr"/>
    </row>
    <row r="11" ht="18" customHeight="1">
      <c r="A11" s="6" t="n">
        <v>8</v>
      </c>
      <c r="B11" s="7" t="inlineStr">
        <is>
          <t>Houlihan Lokey</t>
        </is>
      </c>
      <c r="C11" s="7" t="inlineStr">
        <is>
          <t>Middle Market</t>
        </is>
      </c>
      <c r="D11" s="7" t="inlineStr">
        <is>
          <t>Investment Banking</t>
        </is>
      </c>
      <c r="E11" s="7" t="inlineStr">
        <is>
          <t>Investment Banking Analyst | Aerospace &amp; Defense</t>
        </is>
      </c>
      <c r="F11" s="6" t="inlineStr">
        <is>
          <t>Full-Time Analyst</t>
        </is>
      </c>
      <c r="G11" s="7" t="inlineStr"/>
      <c r="H11" s="7" t="inlineStr">
        <is>
          <t>Los Angeles, CA, USA</t>
        </is>
      </c>
      <c r="I11" s="7" t="inlineStr"/>
      <c r="J11" s="7" t="inlineStr"/>
      <c r="K11" s="6" t="inlineStr">
        <is>
          <t>Open</t>
        </is>
      </c>
      <c r="L11" s="6" t="inlineStr">
        <is>
          <t>High</t>
        </is>
      </c>
      <c r="M11" s="7" t="inlineStr"/>
      <c r="N11" s="7" t="inlineStr">
        <is>
          <t>https://hl.wd1.myworkdayjobs.com/en-US/Lateral/job/Los-Angeles-CA-USA/Investment-Banking-Senior-Analyst---Industrials_R3347</t>
        </is>
      </c>
      <c r="O11" s="7" t="inlineStr"/>
      <c r="P11" s="7" t="inlineStr"/>
      <c r="Q11" s="6" t="inlineStr">
        <is>
          <t>09/01/2026</t>
        </is>
      </c>
      <c r="R11" s="6" t="inlineStr">
        <is>
          <t>09/01/2026</t>
        </is>
      </c>
      <c r="S11" s="7" t="inlineStr"/>
      <c r="T11" s="7" t="inlineStr"/>
      <c r="U11" s="7" t="inlineStr"/>
      <c r="V11" s="8">
        <f>IF(S11="","",TODAY()-S11)</f>
        <v/>
      </c>
      <c r="W11" s="7" t="inlineStr"/>
      <c r="X11" s="7" t="inlineStr"/>
      <c r="Y11" s="7" t="inlineStr"/>
      <c r="Z11" s="7" t="inlineStr"/>
      <c r="AA11" s="7" t="inlineStr"/>
      <c r="AB11" s="7" t="inlineStr"/>
      <c r="AC11" s="7" t="inlineStr"/>
      <c r="AD11" s="7" t="inlineStr"/>
      <c r="AE11" s="7" t="inlineStr"/>
      <c r="AF11" s="7" t="inlineStr"/>
      <c r="AG11" s="7" t="inlineStr"/>
      <c r="AH11" s="7" t="inlineStr"/>
      <c r="AI11" s="7" t="inlineStr"/>
      <c r="AJ11" s="7" t="inlineStr"/>
      <c r="AK11" s="7" t="inlineStr"/>
    </row>
    <row r="12" ht="18" customHeight="1">
      <c r="A12" s="6" t="n">
        <v>9</v>
      </c>
      <c r="B12" s="7" t="inlineStr">
        <is>
          <t>Houlihan Lokey</t>
        </is>
      </c>
      <c r="C12" s="7" t="inlineStr">
        <is>
          <t>Middle Market</t>
        </is>
      </c>
      <c r="D12" s="7" t="inlineStr">
        <is>
          <t>Investment Banking</t>
        </is>
      </c>
      <c r="E12" s="7" t="inlineStr">
        <is>
          <t>Investment Banking Senior Analyst | Business Services</t>
        </is>
      </c>
      <c r="F12" s="6" t="inlineStr">
        <is>
          <t>Full-Time Analyst</t>
        </is>
      </c>
      <c r="G12" s="7" t="inlineStr"/>
      <c r="H12" s="7" t="inlineStr">
        <is>
          <t>Los Angeles, CA, USA</t>
        </is>
      </c>
      <c r="I12" s="7" t="inlineStr"/>
      <c r="J12" s="7" t="inlineStr"/>
      <c r="K12" s="6" t="inlineStr">
        <is>
          <t>Open</t>
        </is>
      </c>
      <c r="L12" s="6" t="inlineStr">
        <is>
          <t>High</t>
        </is>
      </c>
      <c r="M12" s="7" t="inlineStr"/>
      <c r="N12" s="7" t="inlineStr">
        <is>
          <t>https://hl.wd1.myworkdayjobs.com/en-US/Lateral/job/Los-Angeles-CA-USA/Investment-Banking-Senior-Analyst---Business-Services_R3126</t>
        </is>
      </c>
      <c r="O12" s="7" t="inlineStr"/>
      <c r="P12" s="7" t="inlineStr"/>
      <c r="Q12" s="6" t="inlineStr">
        <is>
          <t>09/01/2026</t>
        </is>
      </c>
      <c r="R12" s="6" t="inlineStr">
        <is>
          <t>09/01/2026</t>
        </is>
      </c>
      <c r="S12" s="7" t="inlineStr"/>
      <c r="T12" s="7" t="inlineStr"/>
      <c r="U12" s="7" t="inlineStr"/>
      <c r="V12" s="8">
        <f>IF(S12="","",TODAY()-S12)</f>
        <v/>
      </c>
      <c r="W12" s="7" t="inlineStr"/>
      <c r="X12" s="7" t="inlineStr"/>
      <c r="Y12" s="7" t="inlineStr"/>
      <c r="Z12" s="7" t="inlineStr"/>
      <c r="AA12" s="7" t="inlineStr"/>
      <c r="AB12" s="7" t="inlineStr"/>
      <c r="AC12" s="7" t="inlineStr"/>
      <c r="AD12" s="7" t="inlineStr"/>
      <c r="AE12" s="7" t="inlineStr"/>
      <c r="AF12" s="7" t="inlineStr"/>
      <c r="AG12" s="7" t="inlineStr"/>
      <c r="AH12" s="7" t="inlineStr"/>
      <c r="AI12" s="7" t="inlineStr"/>
      <c r="AJ12" s="7" t="inlineStr"/>
      <c r="AK12" s="7" t="inlineStr"/>
    </row>
    <row r="13" ht="18" customHeight="1">
      <c r="A13" s="6" t="n">
        <v>10</v>
      </c>
      <c r="B13" s="7" t="inlineStr">
        <is>
          <t>Houlihan Lokey</t>
        </is>
      </c>
      <c r="C13" s="7" t="inlineStr">
        <is>
          <t>Middle Market</t>
        </is>
      </c>
      <c r="D13" s="7" t="inlineStr">
        <is>
          <t>Investment Banking</t>
        </is>
      </c>
      <c r="E13" s="7" t="inlineStr">
        <is>
          <t>Investment Banking Senior Analyst | Financial Services</t>
        </is>
      </c>
      <c r="F13" s="6" t="inlineStr">
        <is>
          <t>Full-Time Analyst</t>
        </is>
      </c>
      <c r="G13" s="7" t="inlineStr"/>
      <c r="H13" s="7" t="inlineStr">
        <is>
          <t>New York, NY, USA</t>
        </is>
      </c>
      <c r="I13" s="7" t="inlineStr"/>
      <c r="J13" s="7" t="inlineStr"/>
      <c r="K13" s="6" t="inlineStr">
        <is>
          <t>Open</t>
        </is>
      </c>
      <c r="L13" s="6" t="inlineStr">
        <is>
          <t>High</t>
        </is>
      </c>
      <c r="M13" s="7" t="inlineStr"/>
      <c r="N13" s="7" t="inlineStr">
        <is>
          <t>https://hl.wd1.myworkdayjobs.com/en-US/Lateral/job/New-York-NY-USA/Investment-Banking-Senior-Analyst---Financial-Services_R3027</t>
        </is>
      </c>
      <c r="O13" s="7" t="inlineStr"/>
      <c r="P13" s="7" t="inlineStr"/>
      <c r="Q13" s="6" t="inlineStr">
        <is>
          <t>09/01/2026</t>
        </is>
      </c>
      <c r="R13" s="6" t="inlineStr">
        <is>
          <t>09/01/2026</t>
        </is>
      </c>
      <c r="S13" s="7" t="inlineStr"/>
      <c r="T13" s="7" t="inlineStr"/>
      <c r="U13" s="7" t="inlineStr"/>
      <c r="V13" s="8">
        <f>IF(S13="","",TODAY()-S13)</f>
        <v/>
      </c>
      <c r="W13" s="7" t="inlineStr"/>
      <c r="X13" s="7" t="inlineStr"/>
      <c r="Y13" s="7" t="inlineStr"/>
      <c r="Z13" s="7" t="inlineStr"/>
      <c r="AA13" s="7" t="inlineStr"/>
      <c r="AB13" s="7" t="inlineStr"/>
      <c r="AC13" s="7" t="inlineStr"/>
      <c r="AD13" s="7" t="inlineStr"/>
      <c r="AE13" s="7" t="inlineStr"/>
      <c r="AF13" s="7" t="inlineStr"/>
      <c r="AG13" s="7" t="inlineStr"/>
      <c r="AH13" s="7" t="inlineStr"/>
      <c r="AI13" s="7" t="inlineStr"/>
      <c r="AJ13" s="7" t="inlineStr"/>
      <c r="AK13" s="7" t="inlineStr"/>
    </row>
    <row r="14" ht="18" customHeight="1">
      <c r="A14" s="6" t="n">
        <v>11</v>
      </c>
      <c r="B14" s="7" t="inlineStr">
        <is>
          <t>Houlihan Lokey</t>
        </is>
      </c>
      <c r="C14" s="7" t="inlineStr">
        <is>
          <t>Middle Market</t>
        </is>
      </c>
      <c r="D14" s="7" t="inlineStr">
        <is>
          <t>Investment Banking</t>
        </is>
      </c>
      <c r="E14" s="7" t="inlineStr">
        <is>
          <t>Investment Banking Senior Analyst | Industrials</t>
        </is>
      </c>
      <c r="F14" s="6" t="inlineStr">
        <is>
          <t>Full-Time Analyst</t>
        </is>
      </c>
      <c r="G14" s="7" t="inlineStr"/>
      <c r="H14" s="7" t="inlineStr">
        <is>
          <t>Washington DC, VA, USA</t>
        </is>
      </c>
      <c r="I14" s="7" t="inlineStr"/>
      <c r="J14" s="7" t="inlineStr"/>
      <c r="K14" s="6" t="inlineStr">
        <is>
          <t>Open</t>
        </is>
      </c>
      <c r="L14" s="6" t="inlineStr">
        <is>
          <t>High</t>
        </is>
      </c>
      <c r="M14" s="7" t="inlineStr"/>
      <c r="N14" s="7" t="inlineStr">
        <is>
          <t>https://hl.wd1.myworkdayjobs.com/en-US/Lateral/job/Washington-DC-VA-USA/Investment-Banking-Senior-Analyst---Industrials_R3465</t>
        </is>
      </c>
      <c r="O14" s="7" t="inlineStr"/>
      <c r="P14" s="7" t="inlineStr"/>
      <c r="Q14" s="6" t="inlineStr">
        <is>
          <t>09/01/2026</t>
        </is>
      </c>
      <c r="R14" s="6" t="inlineStr">
        <is>
          <t>09/01/2026</t>
        </is>
      </c>
      <c r="S14" s="7" t="inlineStr"/>
      <c r="T14" s="7" t="inlineStr"/>
      <c r="U14" s="7" t="inlineStr"/>
      <c r="V14" s="8">
        <f>IF(S14="","",TODAY()-S14)</f>
        <v/>
      </c>
      <c r="W14" s="7" t="inlineStr"/>
      <c r="X14" s="7" t="inlineStr"/>
      <c r="Y14" s="7" t="inlineStr"/>
      <c r="Z14" s="7" t="inlineStr"/>
      <c r="AA14" s="7" t="inlineStr"/>
      <c r="AB14" s="7" t="inlineStr"/>
      <c r="AC14" s="7" t="inlineStr"/>
      <c r="AD14" s="7" t="inlineStr"/>
      <c r="AE14" s="7" t="inlineStr"/>
      <c r="AF14" s="7" t="inlineStr"/>
      <c r="AG14" s="7" t="inlineStr"/>
      <c r="AH14" s="7" t="inlineStr"/>
      <c r="AI14" s="7" t="inlineStr"/>
      <c r="AJ14" s="7" t="inlineStr"/>
      <c r="AK14" s="7" t="inlineStr"/>
    </row>
    <row r="15" ht="18" customHeight="1">
      <c r="A15" s="6" t="n">
        <v>12</v>
      </c>
      <c r="B15" s="7" t="inlineStr">
        <is>
          <t>J.P. Morgan</t>
        </is>
      </c>
      <c r="C15" s="7" t="inlineStr">
        <is>
          <t>Bulge Bracket</t>
        </is>
      </c>
      <c r="D15" s="7" t="inlineStr">
        <is>
          <t>Investment Banking</t>
        </is>
      </c>
      <c r="E15" s="7" t="inlineStr">
        <is>
          <t>Investment Banking - Consumer &amp; Retail - Analyst</t>
        </is>
      </c>
      <c r="F15" s="6" t="inlineStr">
        <is>
          <t>Full-Time Analyst</t>
        </is>
      </c>
      <c r="G15" s="7" t="inlineStr"/>
      <c r="H15" s="7" t="inlineStr">
        <is>
          <t>Los Angeles, CA, United States</t>
        </is>
      </c>
      <c r="I15" s="7" t="inlineStr"/>
      <c r="J15" s="7" t="inlineStr"/>
      <c r="K15" s="6" t="inlineStr">
        <is>
          <t>Open</t>
        </is>
      </c>
      <c r="L15" s="6" t="inlineStr">
        <is>
          <t>High</t>
        </is>
      </c>
      <c r="M15" s="7" t="inlineStr"/>
      <c r="N15" s="7" t="inlineStr">
        <is>
          <t>https://jpmc.fa.oraclecloud.com/hcmUI/CandidateExperience/en/sites/CX_1/job/210777857</t>
        </is>
      </c>
      <c r="O15" s="7" t="inlineStr"/>
      <c r="P15" s="7" t="inlineStr"/>
      <c r="Q15" s="6" t="inlineStr">
        <is>
          <t>09/01/2026</t>
        </is>
      </c>
      <c r="R15" s="6" t="inlineStr">
        <is>
          <t>09/01/2026</t>
        </is>
      </c>
      <c r="S15" s="7" t="inlineStr"/>
      <c r="T15" s="7" t="inlineStr"/>
      <c r="U15" s="7" t="inlineStr"/>
      <c r="V15" s="8">
        <f>IF(S15="","",TODAY()-S15)</f>
        <v/>
      </c>
      <c r="W15" s="7" t="inlineStr"/>
      <c r="X15" s="7" t="inlineStr"/>
      <c r="Y15" s="7" t="inlineStr"/>
      <c r="Z15" s="7" t="inlineStr"/>
      <c r="AA15" s="7" t="inlineStr"/>
      <c r="AB15" s="7" t="inlineStr"/>
      <c r="AC15" s="7" t="inlineStr"/>
      <c r="AD15" s="7" t="inlineStr"/>
      <c r="AE15" s="7" t="inlineStr"/>
      <c r="AF15" s="7" t="inlineStr"/>
      <c r="AG15" s="7" t="inlineStr"/>
      <c r="AH15" s="7" t="inlineStr"/>
      <c r="AI15" s="7" t="inlineStr"/>
      <c r="AJ15" s="7" t="inlineStr"/>
      <c r="AK15" s="7" t="inlineStr"/>
    </row>
    <row r="16" ht="18" customHeight="1">
      <c r="A16" s="6" t="n">
        <v>13</v>
      </c>
      <c r="B16" s="7" t="inlineStr">
        <is>
          <t>J.P. Morgan</t>
        </is>
      </c>
      <c r="C16" s="7" t="inlineStr">
        <is>
          <t>Bulge Bracket</t>
        </is>
      </c>
      <c r="D16" s="7" t="inlineStr">
        <is>
          <t>Investment Banking</t>
        </is>
      </c>
      <c r="E16" s="7" t="inlineStr">
        <is>
          <t>Investment Banking - Financial Institutions Group - Analyst</t>
        </is>
      </c>
      <c r="F16" s="6" t="inlineStr">
        <is>
          <t>Full-Time Analyst</t>
        </is>
      </c>
      <c r="G16" s="7" t="inlineStr"/>
      <c r="H16" s="7" t="inlineStr">
        <is>
          <t>New York, NY, United States</t>
        </is>
      </c>
      <c r="I16" s="7" t="inlineStr"/>
      <c r="J16" s="7" t="inlineStr"/>
      <c r="K16" s="6" t="inlineStr">
        <is>
          <t>Open</t>
        </is>
      </c>
      <c r="L16" s="6" t="inlineStr">
        <is>
          <t>High</t>
        </is>
      </c>
      <c r="M16" s="7" t="inlineStr"/>
      <c r="N16" s="7" t="inlineStr">
        <is>
          <t>https://jpmc.fa.oraclecloud.com/hcmUI/CandidateExperience/en/sites/CX_1/job/210733219</t>
        </is>
      </c>
      <c r="O16" s="7" t="inlineStr"/>
      <c r="P16" s="7" t="inlineStr"/>
      <c r="Q16" s="6" t="inlineStr">
        <is>
          <t>09/01/2026</t>
        </is>
      </c>
      <c r="R16" s="6" t="inlineStr">
        <is>
          <t>09/01/2026</t>
        </is>
      </c>
      <c r="S16" s="7" t="inlineStr"/>
      <c r="T16" s="7" t="inlineStr"/>
      <c r="U16" s="7" t="inlineStr"/>
      <c r="V16" s="8">
        <f>IF(S16="","",TODAY()-S16)</f>
        <v/>
      </c>
      <c r="W16" s="7" t="inlineStr"/>
      <c r="X16" s="7" t="inlineStr"/>
      <c r="Y16" s="7" t="inlineStr"/>
      <c r="Z16" s="7" t="inlineStr"/>
      <c r="AA16" s="7" t="inlineStr"/>
      <c r="AB16" s="7" t="inlineStr"/>
      <c r="AC16" s="7" t="inlineStr"/>
      <c r="AD16" s="7" t="inlineStr"/>
      <c r="AE16" s="7" t="inlineStr"/>
      <c r="AF16" s="7" t="inlineStr"/>
      <c r="AG16" s="7" t="inlineStr"/>
      <c r="AH16" s="7" t="inlineStr"/>
      <c r="AI16" s="7" t="inlineStr"/>
      <c r="AJ16" s="7" t="inlineStr"/>
      <c r="AK16" s="7" t="inlineStr"/>
    </row>
    <row r="17" ht="18" customHeight="1">
      <c r="A17" s="6" t="n">
        <v>14</v>
      </c>
      <c r="B17" s="7" t="inlineStr">
        <is>
          <t>J.P. Morgan</t>
        </is>
      </c>
      <c r="C17" s="7" t="inlineStr">
        <is>
          <t>Bulge Bracket</t>
        </is>
      </c>
      <c r="D17" s="7" t="inlineStr">
        <is>
          <t>Investment Banking</t>
        </is>
      </c>
      <c r="E17" s="7" t="inlineStr">
        <is>
          <t>Investment Banking - Financial Institutions Group, Banks - Analyst</t>
        </is>
      </c>
      <c r="F17" s="6" t="inlineStr">
        <is>
          <t>Full-Time Analyst</t>
        </is>
      </c>
      <c r="G17" s="7" t="inlineStr"/>
      <c r="H17" s="7" t="inlineStr">
        <is>
          <t>New York, NY, United States</t>
        </is>
      </c>
      <c r="I17" s="7" t="inlineStr"/>
      <c r="J17" s="7" t="inlineStr"/>
      <c r="K17" s="6" t="inlineStr">
        <is>
          <t>Open</t>
        </is>
      </c>
      <c r="L17" s="6" t="inlineStr">
        <is>
          <t>High</t>
        </is>
      </c>
      <c r="M17" s="7" t="inlineStr"/>
      <c r="N17" s="7" t="inlineStr">
        <is>
          <t>https://jpmc.fa.oraclecloud.com/hcmUI/CandidateExperience/en/sites/CX_1/job/210784213</t>
        </is>
      </c>
      <c r="O17" s="7" t="inlineStr"/>
      <c r="P17" s="7" t="inlineStr"/>
      <c r="Q17" s="6" t="inlineStr">
        <is>
          <t>09/01/2026</t>
        </is>
      </c>
      <c r="R17" s="6" t="inlineStr">
        <is>
          <t>09/01/2026</t>
        </is>
      </c>
      <c r="S17" s="7" t="inlineStr"/>
      <c r="T17" s="7" t="inlineStr"/>
      <c r="U17" s="7" t="inlineStr"/>
      <c r="V17" s="8">
        <f>IF(S17="","",TODAY()-S17)</f>
        <v/>
      </c>
      <c r="W17" s="7" t="inlineStr"/>
      <c r="X17" s="7" t="inlineStr"/>
      <c r="Y17" s="7" t="inlineStr"/>
      <c r="Z17" s="7" t="inlineStr"/>
      <c r="AA17" s="7" t="inlineStr"/>
      <c r="AB17" s="7" t="inlineStr"/>
      <c r="AC17" s="7" t="inlineStr"/>
      <c r="AD17" s="7" t="inlineStr"/>
      <c r="AE17" s="7" t="inlineStr"/>
      <c r="AF17" s="7" t="inlineStr"/>
      <c r="AG17" s="7" t="inlineStr"/>
      <c r="AH17" s="7" t="inlineStr"/>
      <c r="AI17" s="7" t="inlineStr"/>
      <c r="AJ17" s="7" t="inlineStr"/>
      <c r="AK17" s="7" t="inlineStr"/>
    </row>
    <row r="18" ht="18" customHeight="1">
      <c r="A18" s="6" t="n">
        <v>15</v>
      </c>
      <c r="B18" s="7" t="inlineStr">
        <is>
          <t>J.P. Morgan</t>
        </is>
      </c>
      <c r="C18" s="7" t="inlineStr">
        <is>
          <t>Bulge Bracket</t>
        </is>
      </c>
      <c r="D18" s="7" t="inlineStr">
        <is>
          <t>Investment Banking</t>
        </is>
      </c>
      <c r="E18" s="7" t="inlineStr">
        <is>
          <t>Investment Banking - Healthcare - Analyst</t>
        </is>
      </c>
      <c r="F18" s="6" t="inlineStr">
        <is>
          <t>Full-Time Analyst</t>
        </is>
      </c>
      <c r="G18" s="7" t="inlineStr"/>
      <c r="H18" s="7" t="inlineStr">
        <is>
          <t>New York, NY, United States</t>
        </is>
      </c>
      <c r="I18" s="7" t="inlineStr"/>
      <c r="J18" s="7" t="inlineStr"/>
      <c r="K18" s="6" t="inlineStr">
        <is>
          <t>Open</t>
        </is>
      </c>
      <c r="L18" s="6" t="inlineStr">
        <is>
          <t>High</t>
        </is>
      </c>
      <c r="M18" s="7" t="inlineStr"/>
      <c r="N18" s="7" t="inlineStr">
        <is>
          <t>https://jpmc.fa.oraclecloud.com/hcmUI/CandidateExperience/en/sites/CX_1/job/210706007</t>
        </is>
      </c>
      <c r="O18" s="7" t="inlineStr"/>
      <c r="P18" s="7" t="inlineStr"/>
      <c r="Q18" s="6" t="inlineStr">
        <is>
          <t>09/01/2026</t>
        </is>
      </c>
      <c r="R18" s="6" t="inlineStr">
        <is>
          <t>09/01/2026</t>
        </is>
      </c>
      <c r="S18" s="7" t="inlineStr"/>
      <c r="T18" s="7" t="inlineStr"/>
      <c r="U18" s="7" t="inlineStr"/>
      <c r="V18" s="8">
        <f>IF(S18="","",TODAY()-S18)</f>
        <v/>
      </c>
      <c r="W18" s="7" t="inlineStr"/>
      <c r="X18" s="7" t="inlineStr"/>
      <c r="Y18" s="7" t="inlineStr"/>
      <c r="Z18" s="7" t="inlineStr"/>
      <c r="AA18" s="7" t="inlineStr"/>
      <c r="AB18" s="7" t="inlineStr"/>
      <c r="AC18" s="7" t="inlineStr"/>
      <c r="AD18" s="7" t="inlineStr"/>
      <c r="AE18" s="7" t="inlineStr"/>
      <c r="AF18" s="7" t="inlineStr"/>
      <c r="AG18" s="7" t="inlineStr"/>
      <c r="AH18" s="7" t="inlineStr"/>
      <c r="AI18" s="7" t="inlineStr"/>
      <c r="AJ18" s="7" t="inlineStr"/>
      <c r="AK18" s="7" t="inlineStr"/>
    </row>
    <row r="19" ht="18" customHeight="1">
      <c r="A19" s="6" t="n">
        <v>16</v>
      </c>
      <c r="B19" s="7" t="inlineStr">
        <is>
          <t>J.P. Morgan</t>
        </is>
      </c>
      <c r="C19" s="7" t="inlineStr">
        <is>
          <t>Bulge Bracket</t>
        </is>
      </c>
      <c r="D19" s="7" t="inlineStr">
        <is>
          <t>Investment Banking</t>
        </is>
      </c>
      <c r="E19" s="7" t="inlineStr">
        <is>
          <t>Investment Banking - Healthcare - Analyst</t>
        </is>
      </c>
      <c r="F19" s="6" t="inlineStr">
        <is>
          <t>Full-Time Analyst</t>
        </is>
      </c>
      <c r="G19" s="7" t="inlineStr"/>
      <c r="H19" s="7" t="inlineStr">
        <is>
          <t>San Francisco, CA, United States</t>
        </is>
      </c>
      <c r="I19" s="7" t="inlineStr"/>
      <c r="J19" s="7" t="inlineStr"/>
      <c r="K19" s="6" t="inlineStr">
        <is>
          <t>Open</t>
        </is>
      </c>
      <c r="L19" s="6" t="inlineStr">
        <is>
          <t>High</t>
        </is>
      </c>
      <c r="M19" s="7" t="inlineStr"/>
      <c r="N19" s="7" t="inlineStr">
        <is>
          <t>https://jpmc.fa.oraclecloud.com/hcmUI/CandidateExperience/en/sites/CX_1/job/210716451</t>
        </is>
      </c>
      <c r="O19" s="7" t="inlineStr"/>
      <c r="P19" s="7" t="inlineStr"/>
      <c r="Q19" s="6" t="inlineStr">
        <is>
          <t>09/01/2026</t>
        </is>
      </c>
      <c r="R19" s="6" t="inlineStr">
        <is>
          <t>09/01/2026</t>
        </is>
      </c>
      <c r="S19" s="7" t="inlineStr"/>
      <c r="T19" s="7" t="inlineStr"/>
      <c r="U19" s="7" t="inlineStr"/>
      <c r="V19" s="8">
        <f>IF(S19="","",TODAY()-S19)</f>
        <v/>
      </c>
      <c r="W19" s="7" t="inlineStr"/>
      <c r="X19" s="7" t="inlineStr"/>
      <c r="Y19" s="7" t="inlineStr"/>
      <c r="Z19" s="7" t="inlineStr"/>
      <c r="AA19" s="7" t="inlineStr"/>
      <c r="AB19" s="7" t="inlineStr"/>
      <c r="AC19" s="7" t="inlineStr"/>
      <c r="AD19" s="7" t="inlineStr"/>
      <c r="AE19" s="7" t="inlineStr"/>
      <c r="AF19" s="7" t="inlineStr"/>
      <c r="AG19" s="7" t="inlineStr"/>
      <c r="AH19" s="7" t="inlineStr"/>
      <c r="AI19" s="7" t="inlineStr"/>
      <c r="AJ19" s="7" t="inlineStr"/>
      <c r="AK19" s="7" t="inlineStr"/>
    </row>
    <row r="20" ht="18" customHeight="1">
      <c r="A20" s="6" t="n">
        <v>17</v>
      </c>
      <c r="B20" s="7" t="inlineStr">
        <is>
          <t>J.P. Morgan</t>
        </is>
      </c>
      <c r="C20" s="7" t="inlineStr">
        <is>
          <t>Bulge Bracket</t>
        </is>
      </c>
      <c r="D20" s="7" t="inlineStr">
        <is>
          <t>Investment Banking</t>
        </is>
      </c>
      <c r="E20" s="7" t="inlineStr">
        <is>
          <t>Investment Banking - Infrastructure Finance and Advisory - Analyst</t>
        </is>
      </c>
      <c r="F20" s="6" t="inlineStr">
        <is>
          <t>Full-Time Analyst</t>
        </is>
      </c>
      <c r="G20" s="7" t="inlineStr"/>
      <c r="H20" s="7" t="inlineStr">
        <is>
          <t>New York, NY, United States</t>
        </is>
      </c>
      <c r="I20" s="7" t="inlineStr"/>
      <c r="J20" s="7" t="inlineStr"/>
      <c r="K20" s="6" t="inlineStr">
        <is>
          <t>Open</t>
        </is>
      </c>
      <c r="L20" s="6" t="inlineStr">
        <is>
          <t>High</t>
        </is>
      </c>
      <c r="M20" s="7" t="inlineStr"/>
      <c r="N20" s="7" t="inlineStr">
        <is>
          <t>https://jpmc.fa.oraclecloud.com/hcmUI/CandidateExperience/en/sites/CX_1/job/210749950</t>
        </is>
      </c>
      <c r="O20" s="7" t="inlineStr"/>
      <c r="P20" s="7" t="inlineStr"/>
      <c r="Q20" s="6" t="inlineStr">
        <is>
          <t>09/01/2026</t>
        </is>
      </c>
      <c r="R20" s="6" t="inlineStr">
        <is>
          <t>09/01/2026</t>
        </is>
      </c>
      <c r="S20" s="7" t="inlineStr"/>
      <c r="T20" s="7" t="inlineStr"/>
      <c r="U20" s="7" t="inlineStr"/>
      <c r="V20" s="8">
        <f>IF(S20="","",TODAY()-S20)</f>
        <v/>
      </c>
      <c r="W20" s="7" t="inlineStr"/>
      <c r="X20" s="7" t="inlineStr"/>
      <c r="Y20" s="7" t="inlineStr"/>
      <c r="Z20" s="7" t="inlineStr"/>
      <c r="AA20" s="7" t="inlineStr"/>
      <c r="AB20" s="7" t="inlineStr"/>
      <c r="AC20" s="7" t="inlineStr"/>
      <c r="AD20" s="7" t="inlineStr"/>
      <c r="AE20" s="7" t="inlineStr"/>
      <c r="AF20" s="7" t="inlineStr"/>
      <c r="AG20" s="7" t="inlineStr"/>
      <c r="AH20" s="7" t="inlineStr"/>
      <c r="AI20" s="7" t="inlineStr"/>
      <c r="AJ20" s="7" t="inlineStr"/>
      <c r="AK20" s="7" t="inlineStr"/>
    </row>
    <row r="21" ht="18" customHeight="1">
      <c r="A21" s="6" t="n">
        <v>18</v>
      </c>
      <c r="B21" s="7" t="inlineStr">
        <is>
          <t>J.P. Morgan</t>
        </is>
      </c>
      <c r="C21" s="7" t="inlineStr">
        <is>
          <t>Bulge Bracket</t>
        </is>
      </c>
      <c r="D21" s="7" t="inlineStr">
        <is>
          <t>Investment Banking</t>
        </is>
      </c>
      <c r="E21" s="7" t="inlineStr">
        <is>
          <t>Investment Banking - Leveraged Finance - Analyst</t>
        </is>
      </c>
      <c r="F21" s="6" t="inlineStr">
        <is>
          <t>Full-Time Analyst</t>
        </is>
      </c>
      <c r="G21" s="7" t="inlineStr"/>
      <c r="H21" s="7" t="inlineStr">
        <is>
          <t>New York, NY, United States</t>
        </is>
      </c>
      <c r="I21" s="7" t="inlineStr"/>
      <c r="J21" s="7" t="inlineStr"/>
      <c r="K21" s="6" t="inlineStr">
        <is>
          <t>Open</t>
        </is>
      </c>
      <c r="L21" s="6" t="inlineStr">
        <is>
          <t>High</t>
        </is>
      </c>
      <c r="M21" s="7" t="inlineStr"/>
      <c r="N21" s="7" t="inlineStr">
        <is>
          <t>https://jpmc.fa.oraclecloud.com/hcmUI/CandidateExperience/en/sites/CX_1/job/210725578</t>
        </is>
      </c>
      <c r="O21" s="7" t="inlineStr"/>
      <c r="P21" s="7" t="inlineStr"/>
      <c r="Q21" s="6" t="inlineStr">
        <is>
          <t>09/01/2026</t>
        </is>
      </c>
      <c r="R21" s="6" t="inlineStr">
        <is>
          <t>09/01/2026</t>
        </is>
      </c>
      <c r="S21" s="7" t="inlineStr"/>
      <c r="T21" s="7" t="inlineStr"/>
      <c r="U21" s="7" t="inlineStr"/>
      <c r="V21" s="8">
        <f>IF(S21="","",TODAY()-S21)</f>
        <v/>
      </c>
      <c r="W21" s="7" t="inlineStr"/>
      <c r="X21" s="7" t="inlineStr"/>
      <c r="Y21" s="7" t="inlineStr"/>
      <c r="Z21" s="7" t="inlineStr"/>
      <c r="AA21" s="7" t="inlineStr"/>
      <c r="AB21" s="7" t="inlineStr"/>
      <c r="AC21" s="7" t="inlineStr"/>
      <c r="AD21" s="7" t="inlineStr"/>
      <c r="AE21" s="7" t="inlineStr"/>
      <c r="AF21" s="7" t="inlineStr"/>
      <c r="AG21" s="7" t="inlineStr"/>
      <c r="AH21" s="7" t="inlineStr"/>
      <c r="AI21" s="7" t="inlineStr"/>
      <c r="AJ21" s="7" t="inlineStr"/>
      <c r="AK21" s="7" t="inlineStr"/>
    </row>
    <row r="22" ht="18" customHeight="1">
      <c r="A22" s="6" t="n">
        <v>19</v>
      </c>
      <c r="B22" s="7" t="inlineStr">
        <is>
          <t>J.P. Morgan</t>
        </is>
      </c>
      <c r="C22" s="7" t="inlineStr">
        <is>
          <t>Bulge Bracket</t>
        </is>
      </c>
      <c r="D22" s="7" t="inlineStr">
        <is>
          <t>Investment Banking</t>
        </is>
      </c>
      <c r="E22" s="7" t="inlineStr">
        <is>
          <t>Investment Banking - Media &amp; Communications - Analyst</t>
        </is>
      </c>
      <c r="F22" s="6" t="inlineStr">
        <is>
          <t>Full-Time Analyst</t>
        </is>
      </c>
      <c r="G22" s="7" t="inlineStr"/>
      <c r="H22" s="7" t="inlineStr">
        <is>
          <t>New York, NY, United States</t>
        </is>
      </c>
      <c r="I22" s="7" t="inlineStr"/>
      <c r="J22" s="7" t="inlineStr"/>
      <c r="K22" s="6" t="inlineStr">
        <is>
          <t>Open</t>
        </is>
      </c>
      <c r="L22" s="6" t="inlineStr">
        <is>
          <t>High</t>
        </is>
      </c>
      <c r="M22" s="7" t="inlineStr"/>
      <c r="N22" s="7" t="inlineStr">
        <is>
          <t>https://jpmc.fa.oraclecloud.com/hcmUI/CandidateExperience/en/sites/CX_1/job/210693656</t>
        </is>
      </c>
      <c r="O22" s="7" t="inlineStr"/>
      <c r="P22" s="7" t="inlineStr"/>
      <c r="Q22" s="6" t="inlineStr">
        <is>
          <t>09/01/2026</t>
        </is>
      </c>
      <c r="R22" s="6" t="inlineStr">
        <is>
          <t>09/01/2026</t>
        </is>
      </c>
      <c r="S22" s="7" t="inlineStr"/>
      <c r="T22" s="7" t="inlineStr"/>
      <c r="U22" s="7" t="inlineStr"/>
      <c r="V22" s="8">
        <f>IF(S22="","",TODAY()-S22)</f>
        <v/>
      </c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7" t="inlineStr"/>
      <c r="AF22" s="7" t="inlineStr"/>
      <c r="AG22" s="7" t="inlineStr"/>
      <c r="AH22" s="7" t="inlineStr"/>
      <c r="AI22" s="7" t="inlineStr"/>
      <c r="AJ22" s="7" t="inlineStr"/>
      <c r="AK22" s="7" t="inlineStr"/>
    </row>
    <row r="23" ht="18" customHeight="1">
      <c r="A23" s="6" t="n">
        <v>20</v>
      </c>
      <c r="B23" s="7" t="inlineStr">
        <is>
          <t>J.P. Morgan</t>
        </is>
      </c>
      <c r="C23" s="7" t="inlineStr">
        <is>
          <t>Bulge Bracket</t>
        </is>
      </c>
      <c r="D23" s="7" t="inlineStr">
        <is>
          <t>Investment Banking</t>
        </is>
      </c>
      <c r="E23" s="7" t="inlineStr">
        <is>
          <t>Investment Banking - Small-Cap Investment Banking - Analyst</t>
        </is>
      </c>
      <c r="F23" s="6" t="inlineStr">
        <is>
          <t>Full-Time Analyst</t>
        </is>
      </c>
      <c r="G23" s="7" t="inlineStr"/>
      <c r="H23" s="7" t="inlineStr">
        <is>
          <t>New York, NY, United States</t>
        </is>
      </c>
      <c r="I23" s="7" t="inlineStr"/>
      <c r="J23" s="7" t="inlineStr"/>
      <c r="K23" s="6" t="inlineStr">
        <is>
          <t>Open</t>
        </is>
      </c>
      <c r="L23" s="6" t="inlineStr">
        <is>
          <t>High</t>
        </is>
      </c>
      <c r="M23" s="7" t="inlineStr"/>
      <c r="N23" s="7" t="inlineStr">
        <is>
          <t>https://jpmc.fa.oraclecloud.com/hcmUI/CandidateExperience/en/sites/CX_1/job/210778877</t>
        </is>
      </c>
      <c r="O23" s="7" t="inlineStr"/>
      <c r="P23" s="7" t="inlineStr"/>
      <c r="Q23" s="6" t="inlineStr">
        <is>
          <t>09/01/2026</t>
        </is>
      </c>
      <c r="R23" s="6" t="inlineStr">
        <is>
          <t>09/01/2026</t>
        </is>
      </c>
      <c r="S23" s="7" t="inlineStr"/>
      <c r="T23" s="7" t="inlineStr"/>
      <c r="U23" s="7" t="inlineStr"/>
      <c r="V23" s="8">
        <f>IF(S23="","",TODAY()-S23)</f>
        <v/>
      </c>
      <c r="W23" s="7" t="inlineStr"/>
      <c r="X23" s="7" t="inlineStr"/>
      <c r="Y23" s="7" t="inlineStr"/>
      <c r="Z23" s="7" t="inlineStr"/>
      <c r="AA23" s="7" t="inlineStr"/>
      <c r="AB23" s="7" t="inlineStr"/>
      <c r="AC23" s="7" t="inlineStr"/>
      <c r="AD23" s="7" t="inlineStr"/>
      <c r="AE23" s="7" t="inlineStr"/>
      <c r="AF23" s="7" t="inlineStr"/>
      <c r="AG23" s="7" t="inlineStr"/>
      <c r="AH23" s="7" t="inlineStr"/>
      <c r="AI23" s="7" t="inlineStr"/>
      <c r="AJ23" s="7" t="inlineStr"/>
      <c r="AK23" s="7" t="inlineStr"/>
    </row>
    <row r="24" ht="18" customHeight="1">
      <c r="A24" s="6" t="n">
        <v>21</v>
      </c>
      <c r="B24" s="7" t="inlineStr">
        <is>
          <t>J.P. Morgan</t>
        </is>
      </c>
      <c r="C24" s="7" t="inlineStr">
        <is>
          <t>Bulge Bracket</t>
        </is>
      </c>
      <c r="D24" s="7" t="inlineStr">
        <is>
          <t>Investment Banking</t>
        </is>
      </c>
      <c r="E24" s="7" t="inlineStr">
        <is>
          <t>Investment Banking - Strategic Investment Group - Analyst</t>
        </is>
      </c>
      <c r="F24" s="6" t="inlineStr">
        <is>
          <t>Full-Time Analyst</t>
        </is>
      </c>
      <c r="G24" s="7" t="inlineStr"/>
      <c r="H24" s="7" t="inlineStr">
        <is>
          <t>New York, NY, United States</t>
        </is>
      </c>
      <c r="I24" s="7" t="inlineStr"/>
      <c r="J24" s="7" t="inlineStr"/>
      <c r="K24" s="6" t="inlineStr">
        <is>
          <t>Open</t>
        </is>
      </c>
      <c r="L24" s="6" t="inlineStr">
        <is>
          <t>High</t>
        </is>
      </c>
      <c r="M24" s="7" t="inlineStr"/>
      <c r="N24" s="7" t="inlineStr">
        <is>
          <t>https://jpmc.fa.oraclecloud.com/hcmUI/CandidateExperience/en/sites/CX_1/job/210782168</t>
        </is>
      </c>
      <c r="O24" s="7" t="inlineStr"/>
      <c r="P24" s="7" t="inlineStr"/>
      <c r="Q24" s="6" t="inlineStr">
        <is>
          <t>09/01/2026</t>
        </is>
      </c>
      <c r="R24" s="6" t="inlineStr">
        <is>
          <t>09/01/2026</t>
        </is>
      </c>
      <c r="S24" s="7" t="inlineStr"/>
      <c r="T24" s="7" t="inlineStr"/>
      <c r="U24" s="7" t="inlineStr"/>
      <c r="V24" s="8">
        <f>IF(S24="","",TODAY()-S24)</f>
        <v/>
      </c>
      <c r="W24" s="7" t="inlineStr"/>
      <c r="X24" s="7" t="inlineStr"/>
      <c r="Y24" s="7" t="inlineStr"/>
      <c r="Z24" s="7" t="inlineStr"/>
      <c r="AA24" s="7" t="inlineStr"/>
      <c r="AB24" s="7" t="inlineStr"/>
      <c r="AC24" s="7" t="inlineStr"/>
      <c r="AD24" s="7" t="inlineStr"/>
      <c r="AE24" s="7" t="inlineStr"/>
      <c r="AF24" s="7" t="inlineStr"/>
      <c r="AG24" s="7" t="inlineStr"/>
      <c r="AH24" s="7" t="inlineStr"/>
      <c r="AI24" s="7" t="inlineStr"/>
      <c r="AJ24" s="7" t="inlineStr"/>
      <c r="AK24" s="7" t="inlineStr"/>
    </row>
    <row r="25" ht="18" customHeight="1">
      <c r="A25" s="6" t="n">
        <v>22</v>
      </c>
      <c r="B25" s="7" t="inlineStr">
        <is>
          <t>J.P. Morgan</t>
        </is>
      </c>
      <c r="C25" s="7" t="inlineStr">
        <is>
          <t>Bulge Bracket</t>
        </is>
      </c>
      <c r="D25" s="7" t="inlineStr">
        <is>
          <t>Investment Banking</t>
        </is>
      </c>
      <c r="E25" s="7" t="inlineStr">
        <is>
          <t>Investment Banking - Strategic Investment Group, Infrastructure - Analyst</t>
        </is>
      </c>
      <c r="F25" s="6" t="inlineStr">
        <is>
          <t>Full-Time Analyst</t>
        </is>
      </c>
      <c r="G25" s="7" t="inlineStr"/>
      <c r="H25" s="7" t="inlineStr">
        <is>
          <t>New York, NY, United States</t>
        </is>
      </c>
      <c r="I25" s="7" t="inlineStr"/>
      <c r="J25" s="7" t="inlineStr"/>
      <c r="K25" s="6" t="inlineStr">
        <is>
          <t>Open</t>
        </is>
      </c>
      <c r="L25" s="6" t="inlineStr">
        <is>
          <t>High</t>
        </is>
      </c>
      <c r="M25" s="7" t="inlineStr"/>
      <c r="N25" s="7" t="inlineStr">
        <is>
          <t>https://jpmc.fa.oraclecloud.com/hcmUI/CandidateExperience/en/sites/CX_1/job/210626089</t>
        </is>
      </c>
      <c r="O25" s="7" t="inlineStr"/>
      <c r="P25" s="7" t="inlineStr"/>
      <c r="Q25" s="6" t="inlineStr">
        <is>
          <t>09/01/2026</t>
        </is>
      </c>
      <c r="R25" s="6" t="inlineStr">
        <is>
          <t>09/01/2026</t>
        </is>
      </c>
      <c r="S25" s="7" t="inlineStr"/>
      <c r="T25" s="7" t="inlineStr"/>
      <c r="U25" s="7" t="inlineStr"/>
      <c r="V25" s="8">
        <f>IF(S25="","",TODAY()-S25)</f>
        <v/>
      </c>
      <c r="W25" s="7" t="inlineStr"/>
      <c r="X25" s="7" t="inlineStr"/>
      <c r="Y25" s="7" t="inlineStr"/>
      <c r="Z25" s="7" t="inlineStr"/>
      <c r="AA25" s="7" t="inlineStr"/>
      <c r="AB25" s="7" t="inlineStr"/>
      <c r="AC25" s="7" t="inlineStr"/>
      <c r="AD25" s="7" t="inlineStr"/>
      <c r="AE25" s="7" t="inlineStr"/>
      <c r="AF25" s="7" t="inlineStr"/>
      <c r="AG25" s="7" t="inlineStr"/>
      <c r="AH25" s="7" t="inlineStr"/>
      <c r="AI25" s="7" t="inlineStr"/>
      <c r="AJ25" s="7" t="inlineStr"/>
      <c r="AK25" s="7" t="inlineStr"/>
    </row>
    <row r="26" ht="18" customHeight="1">
      <c r="A26" s="6" t="n">
        <v>23</v>
      </c>
      <c r="B26" s="7" t="inlineStr">
        <is>
          <t>Jefferies</t>
        </is>
      </c>
      <c r="C26" s="7" t="inlineStr">
        <is>
          <t>Bulge Bracket</t>
        </is>
      </c>
      <c r="D26" s="7" t="inlineStr">
        <is>
          <t>Investment Banking</t>
        </is>
      </c>
      <c r="E26" s="7" t="inlineStr">
        <is>
          <t>Investment Banking Analyst – Strategic Finance and Shareholder Engagement &amp; Activism Advisory</t>
        </is>
      </c>
      <c r="F26" s="6" t="inlineStr">
        <is>
          <t>Full-Time Analyst</t>
        </is>
      </c>
      <c r="G26" s="7" t="inlineStr"/>
      <c r="H26" s="7" t="inlineStr">
        <is>
          <t>New York, NY, United States</t>
        </is>
      </c>
      <c r="I26" s="7" t="inlineStr"/>
      <c r="J26" s="7" t="inlineStr"/>
      <c r="K26" s="6" t="inlineStr">
        <is>
          <t>Open</t>
        </is>
      </c>
      <c r="L26" s="6" t="inlineStr">
        <is>
          <t>High</t>
        </is>
      </c>
      <c r="M26" s="7" t="inlineStr"/>
      <c r="N26" s="7" t="inlineStr">
        <is>
          <t>https://hdid.fa.us2.oraclecloud.com/hcmUI/CandidateExperience/en/sites/CX_1/job/4166</t>
        </is>
      </c>
      <c r="O26" s="7" t="inlineStr"/>
      <c r="P26" s="7" t="inlineStr"/>
      <c r="Q26" s="6" t="inlineStr">
        <is>
          <t>09/01/2026</t>
        </is>
      </c>
      <c r="R26" s="6" t="inlineStr">
        <is>
          <t>09/01/2026</t>
        </is>
      </c>
      <c r="S26" s="7" t="inlineStr"/>
      <c r="T26" s="7" t="inlineStr"/>
      <c r="U26" s="7" t="inlineStr"/>
      <c r="V26" s="8">
        <f>IF(S26="","",TODAY()-S26)</f>
        <v/>
      </c>
      <c r="W26" s="7" t="inlineStr"/>
      <c r="X26" s="7" t="inlineStr"/>
      <c r="Y26" s="7" t="inlineStr"/>
      <c r="Z26" s="7" t="inlineStr"/>
      <c r="AA26" s="7" t="inlineStr"/>
      <c r="AB26" s="7" t="inlineStr"/>
      <c r="AC26" s="7" t="inlineStr"/>
      <c r="AD26" s="7" t="inlineStr"/>
      <c r="AE26" s="7" t="inlineStr"/>
      <c r="AF26" s="7" t="inlineStr"/>
      <c r="AG26" s="7" t="inlineStr"/>
      <c r="AH26" s="7" t="inlineStr"/>
      <c r="AI26" s="7" t="inlineStr"/>
      <c r="AJ26" s="7" t="inlineStr"/>
      <c r="AK26" s="7" t="inlineStr"/>
    </row>
    <row r="27" ht="18" customHeight="1">
      <c r="A27" s="6" t="n">
        <v>24</v>
      </c>
      <c r="B27" s="7" t="inlineStr">
        <is>
          <t>Leerink Partners</t>
        </is>
      </c>
      <c r="C27" s="7" t="inlineStr">
        <is>
          <t>Middle Market</t>
        </is>
      </c>
      <c r="D27" s="7" t="inlineStr">
        <is>
          <t>Investment Banking</t>
        </is>
      </c>
      <c r="E27" s="7" t="inlineStr">
        <is>
          <t>Investment Banking Analyst</t>
        </is>
      </c>
      <c r="F27" s="6" t="inlineStr">
        <is>
          <t>Full-Time Analyst</t>
        </is>
      </c>
      <c r="G27" s="7" t="inlineStr"/>
      <c r="H27" s="7" t="inlineStr">
        <is>
          <t>USA CA Santa Monica</t>
        </is>
      </c>
      <c r="I27" s="7" t="inlineStr"/>
      <c r="J27" s="7" t="inlineStr"/>
      <c r="K27" s="6" t="inlineStr">
        <is>
          <t>Open</t>
        </is>
      </c>
      <c r="L27" s="6" t="inlineStr">
        <is>
          <t>High</t>
        </is>
      </c>
      <c r="M27" s="7" t="inlineStr"/>
      <c r="N27" s="7" t="inlineStr">
        <is>
          <t>https://leerink.wd5.myworkdayjobs.com/en-US/leerinkpartners/job/USA-CA-Santa-Monica/Investment-Banking-Analyst_R00661</t>
        </is>
      </c>
      <c r="O27" s="7" t="inlineStr"/>
      <c r="P27" s="7" t="inlineStr"/>
      <c r="Q27" s="6" t="inlineStr">
        <is>
          <t>09/01/2026</t>
        </is>
      </c>
      <c r="R27" s="6" t="inlineStr">
        <is>
          <t>09/01/2026</t>
        </is>
      </c>
      <c r="S27" s="7" t="inlineStr"/>
      <c r="T27" s="7" t="inlineStr"/>
      <c r="U27" s="7" t="inlineStr"/>
      <c r="V27" s="8">
        <f>IF(S27="","",TODAY()-S27)</f>
        <v/>
      </c>
      <c r="W27" s="7" t="inlineStr"/>
      <c r="X27" s="7" t="inlineStr"/>
      <c r="Y27" s="7" t="inlineStr"/>
      <c r="Z27" s="7" t="inlineStr"/>
      <c r="AA27" s="7" t="inlineStr"/>
      <c r="AB27" s="7" t="inlineStr"/>
      <c r="AC27" s="7" t="inlineStr"/>
      <c r="AD27" s="7" t="inlineStr"/>
      <c r="AE27" s="7" t="inlineStr"/>
      <c r="AF27" s="7" t="inlineStr"/>
      <c r="AG27" s="7" t="inlineStr"/>
      <c r="AH27" s="7" t="inlineStr"/>
      <c r="AI27" s="7" t="inlineStr"/>
      <c r="AJ27" s="7" t="inlineStr"/>
      <c r="AK27" s="7" t="inlineStr"/>
    </row>
    <row r="28" ht="18" customHeight="1">
      <c r="A28" s="6" t="n">
        <v>25</v>
      </c>
      <c r="B28" s="7" t="inlineStr">
        <is>
          <t>Leerink Partners</t>
        </is>
      </c>
      <c r="C28" s="7" t="inlineStr">
        <is>
          <t>Middle Market</t>
        </is>
      </c>
      <c r="D28" s="7" t="inlineStr">
        <is>
          <t>Investment Banking</t>
        </is>
      </c>
      <c r="E28" s="7" t="inlineStr">
        <is>
          <t>Investment Banking ECM Analyst</t>
        </is>
      </c>
      <c r="F28" s="6" t="inlineStr">
        <is>
          <t>Full-Time Analyst</t>
        </is>
      </c>
      <c r="G28" s="7" t="inlineStr"/>
      <c r="H28" s="7" t="inlineStr">
        <is>
          <t>USA NY New York</t>
        </is>
      </c>
      <c r="I28" s="7" t="inlineStr"/>
      <c r="J28" s="7" t="inlineStr"/>
      <c r="K28" s="6" t="inlineStr">
        <is>
          <t>Open</t>
        </is>
      </c>
      <c r="L28" s="6" t="inlineStr">
        <is>
          <t>High</t>
        </is>
      </c>
      <c r="M28" s="7" t="inlineStr"/>
      <c r="N28" s="7" t="inlineStr">
        <is>
          <t>https://leerink.wd5.myworkdayjobs.com/en-US/leerinkpartners/job/USA-NY-New-York/Investment-Banking-ECM-Analyst_R00662</t>
        </is>
      </c>
      <c r="O28" s="7" t="inlineStr"/>
      <c r="P28" s="7" t="inlineStr"/>
      <c r="Q28" s="6" t="inlineStr">
        <is>
          <t>09/01/2026</t>
        </is>
      </c>
      <c r="R28" s="6" t="inlineStr">
        <is>
          <t>09/01/2026</t>
        </is>
      </c>
      <c r="S28" s="7" t="inlineStr"/>
      <c r="T28" s="7" t="inlineStr"/>
      <c r="U28" s="7" t="inlineStr"/>
      <c r="V28" s="8">
        <f>IF(S28="","",TODAY()-S28)</f>
        <v/>
      </c>
      <c r="W28" s="7" t="inlineStr"/>
      <c r="X28" s="7" t="inlineStr"/>
      <c r="Y28" s="7" t="inlineStr"/>
      <c r="Z28" s="7" t="inlineStr"/>
      <c r="AA28" s="7" t="inlineStr"/>
      <c r="AB28" s="7" t="inlineStr"/>
      <c r="AC28" s="7" t="inlineStr"/>
      <c r="AD28" s="7" t="inlineStr"/>
      <c r="AE28" s="7" t="inlineStr"/>
      <c r="AF28" s="7" t="inlineStr"/>
      <c r="AG28" s="7" t="inlineStr"/>
      <c r="AH28" s="7" t="inlineStr"/>
      <c r="AI28" s="7" t="inlineStr"/>
      <c r="AJ28" s="7" t="inlineStr"/>
      <c r="AK28" s="7" t="inlineStr"/>
    </row>
    <row r="29" ht="18" customHeight="1">
      <c r="A29" s="6" t="n">
        <v>26</v>
      </c>
      <c r="B29" s="7" t="inlineStr">
        <is>
          <t>MUFG</t>
        </is>
      </c>
      <c r="C29" s="7" t="inlineStr">
        <is>
          <t>Foreign Bank</t>
        </is>
      </c>
      <c r="D29" s="7" t="inlineStr">
        <is>
          <t>Investment Banking</t>
        </is>
      </c>
      <c r="E29" s="7" t="inlineStr">
        <is>
          <t>2027 Corporate, Investment Banking and Markets (CIB&amp;M) Full-Time Analyst Program – Sponsor Finance &amp; Direct Lending | New York</t>
        </is>
      </c>
      <c r="F29" s="6" t="inlineStr">
        <is>
          <t>Full-Time Analyst</t>
        </is>
      </c>
      <c r="G29" s="7" t="inlineStr"/>
      <c r="H29" s="7" t="inlineStr">
        <is>
          <t>New York, NY</t>
        </is>
      </c>
      <c r="I29" s="7" t="inlineStr"/>
      <c r="J29" s="7" t="inlineStr"/>
      <c r="K29" s="6" t="inlineStr">
        <is>
          <t>Open</t>
        </is>
      </c>
      <c r="L29" s="6" t="inlineStr">
        <is>
          <t>High</t>
        </is>
      </c>
      <c r="M29" s="7" t="inlineStr"/>
      <c r="N29" s="7" t="inlineStr">
        <is>
          <t>https://mufgub.wd3.myworkdayjobs.com/en-US/MUFG-Careers/job/New-York-NY/XMLNAME-2027-Corporate--Investment-Banking-and-Markets--CIB-M--Full-Time-Analyst-Program---Sponsor-Finance---Direct-Lending---New-York_10079135-WD-1</t>
        </is>
      </c>
      <c r="O29" s="7" t="inlineStr"/>
      <c r="P29" s="7" t="inlineStr"/>
      <c r="Q29" s="6" t="inlineStr">
        <is>
          <t>09/01/2026</t>
        </is>
      </c>
      <c r="R29" s="6" t="inlineStr">
        <is>
          <t>09/01/2026</t>
        </is>
      </c>
      <c r="S29" s="7" t="inlineStr"/>
      <c r="T29" s="7" t="inlineStr"/>
      <c r="U29" s="7" t="inlineStr"/>
      <c r="V29" s="8">
        <f>IF(S29="","",TODAY()-S29)</f>
        <v/>
      </c>
      <c r="W29" s="7" t="inlineStr"/>
      <c r="X29" s="7" t="inlineStr"/>
      <c r="Y29" s="7" t="inlineStr"/>
      <c r="Z29" s="7" t="inlineStr"/>
      <c r="AA29" s="7" t="inlineStr"/>
      <c r="AB29" s="7" t="inlineStr"/>
      <c r="AC29" s="7" t="inlineStr"/>
      <c r="AD29" s="7" t="inlineStr"/>
      <c r="AE29" s="7" t="inlineStr"/>
      <c r="AF29" s="7" t="inlineStr"/>
      <c r="AG29" s="7" t="inlineStr"/>
      <c r="AH29" s="7" t="inlineStr"/>
      <c r="AI29" s="7" t="inlineStr"/>
      <c r="AJ29" s="7" t="inlineStr"/>
      <c r="AK29" s="7" t="inlineStr"/>
    </row>
    <row r="30" ht="18" customHeight="1">
      <c r="A30" s="6" t="n">
        <v>27</v>
      </c>
      <c r="B30" s="7" t="inlineStr">
        <is>
          <t>MUFG</t>
        </is>
      </c>
      <c r="C30" s="7" t="inlineStr">
        <is>
          <t>Foreign Bank</t>
        </is>
      </c>
      <c r="D30" s="7" t="inlineStr">
        <is>
          <t>Investment Banking</t>
        </is>
      </c>
      <c r="E30" s="7" t="inlineStr">
        <is>
          <t>Investment Banking Analyst - Charlotte - Intrepid (Full-Time 2027)</t>
        </is>
      </c>
      <c r="F30" s="6" t="inlineStr">
        <is>
          <t>Full-Time Analyst</t>
        </is>
      </c>
      <c r="G30" s="7" t="inlineStr"/>
      <c r="H30" s="7" t="inlineStr">
        <is>
          <t>Charlotte, NC</t>
        </is>
      </c>
      <c r="I30" s="7" t="inlineStr"/>
      <c r="J30" s="7" t="inlineStr"/>
      <c r="K30" s="6" t="inlineStr">
        <is>
          <t>Open</t>
        </is>
      </c>
      <c r="L30" s="6" t="inlineStr">
        <is>
          <t>High</t>
        </is>
      </c>
      <c r="M30" s="7" t="inlineStr"/>
      <c r="N30" s="7" t="inlineStr">
        <is>
          <t>https://mufgub.wd3.myworkdayjobs.com/en-US/MUFG-Careers/job/Charlotte-NC/Investment-Banking-Analyst---Charlotte---Intrepid--Full-Time-2027-_10078773-WD</t>
        </is>
      </c>
      <c r="O30" s="7" t="inlineStr"/>
      <c r="P30" s="7" t="inlineStr"/>
      <c r="Q30" s="6" t="inlineStr">
        <is>
          <t>09/01/2026</t>
        </is>
      </c>
      <c r="R30" s="6" t="inlineStr">
        <is>
          <t>09/01/2026</t>
        </is>
      </c>
      <c r="S30" s="7" t="inlineStr"/>
      <c r="T30" s="7" t="inlineStr"/>
      <c r="U30" s="7" t="inlineStr"/>
      <c r="V30" s="8">
        <f>IF(S30="","",TODAY()-S30)</f>
        <v/>
      </c>
      <c r="W30" s="7" t="inlineStr"/>
      <c r="X30" s="7" t="inlineStr"/>
      <c r="Y30" s="7" t="inlineStr"/>
      <c r="Z30" s="7" t="inlineStr"/>
      <c r="AA30" s="7" t="inlineStr"/>
      <c r="AB30" s="7" t="inlineStr"/>
      <c r="AC30" s="7" t="inlineStr"/>
      <c r="AD30" s="7" t="inlineStr"/>
      <c r="AE30" s="7" t="inlineStr"/>
      <c r="AF30" s="7" t="inlineStr"/>
      <c r="AG30" s="7" t="inlineStr"/>
      <c r="AH30" s="7" t="inlineStr"/>
      <c r="AI30" s="7" t="inlineStr"/>
      <c r="AJ30" s="7" t="inlineStr"/>
      <c r="AK30" s="7" t="inlineStr"/>
    </row>
    <row r="31" ht="18" customHeight="1">
      <c r="A31" s="6" t="n">
        <v>28</v>
      </c>
      <c r="B31" s="7" t="inlineStr">
        <is>
          <t>MUFG</t>
        </is>
      </c>
      <c r="C31" s="7" t="inlineStr">
        <is>
          <t>Foreign Bank</t>
        </is>
      </c>
      <c r="D31" s="7" t="inlineStr">
        <is>
          <t>Investment Banking</t>
        </is>
      </c>
      <c r="E31" s="7" t="inlineStr">
        <is>
          <t>Investment Banking Analyst - Healthcare</t>
        </is>
      </c>
      <c r="F31" s="6" t="inlineStr">
        <is>
          <t>Full-Time Analyst</t>
        </is>
      </c>
      <c r="G31" s="7" t="inlineStr"/>
      <c r="H31" s="7" t="inlineStr">
        <is>
          <t>Nashville, TN</t>
        </is>
      </c>
      <c r="I31" s="7" t="inlineStr"/>
      <c r="J31" s="7" t="inlineStr"/>
      <c r="K31" s="6" t="inlineStr">
        <is>
          <t>Open</t>
        </is>
      </c>
      <c r="L31" s="6" t="inlineStr">
        <is>
          <t>High</t>
        </is>
      </c>
      <c r="M31" s="7" t="inlineStr"/>
      <c r="N31" s="7" t="inlineStr">
        <is>
          <t>https://mufgub.wd3.myworkdayjobs.com/en-US/MUFG-Careers/job/Nashville-TN/Investment-Banking-Analyst---Healthcare_10075617-WD-1</t>
        </is>
      </c>
      <c r="O31" s="7" t="inlineStr"/>
      <c r="P31" s="7" t="inlineStr"/>
      <c r="Q31" s="6" t="inlineStr">
        <is>
          <t>09/01/2026</t>
        </is>
      </c>
      <c r="R31" s="6" t="inlineStr">
        <is>
          <t>09/01/2026</t>
        </is>
      </c>
      <c r="S31" s="7" t="inlineStr"/>
      <c r="T31" s="7" t="inlineStr"/>
      <c r="U31" s="7" t="inlineStr"/>
      <c r="V31" s="8">
        <f>IF(S31="","",TODAY()-S31)</f>
        <v/>
      </c>
      <c r="W31" s="7" t="inlineStr"/>
      <c r="X31" s="7" t="inlineStr"/>
      <c r="Y31" s="7" t="inlineStr"/>
      <c r="Z31" s="7" t="inlineStr"/>
      <c r="AA31" s="7" t="inlineStr"/>
      <c r="AB31" s="7" t="inlineStr"/>
      <c r="AC31" s="7" t="inlineStr"/>
      <c r="AD31" s="7" t="inlineStr"/>
      <c r="AE31" s="7" t="inlineStr"/>
      <c r="AF31" s="7" t="inlineStr"/>
      <c r="AG31" s="7" t="inlineStr"/>
      <c r="AH31" s="7" t="inlineStr"/>
      <c r="AI31" s="7" t="inlineStr"/>
      <c r="AJ31" s="7" t="inlineStr"/>
      <c r="AK31" s="7" t="inlineStr"/>
    </row>
    <row r="32" ht="18" customHeight="1">
      <c r="A32" s="6" t="n">
        <v>29</v>
      </c>
      <c r="B32" s="7" t="inlineStr">
        <is>
          <t>MUFG</t>
        </is>
      </c>
      <c r="C32" s="7" t="inlineStr">
        <is>
          <t>Foreign Bank</t>
        </is>
      </c>
      <c r="D32" s="7" t="inlineStr">
        <is>
          <t>Investment Banking</t>
        </is>
      </c>
      <c r="E32" s="7" t="inlineStr">
        <is>
          <t>Investment Banking Analyst - Los Angeles - Intrepid (Full-Time 2027)</t>
        </is>
      </c>
      <c r="F32" s="6" t="inlineStr">
        <is>
          <t>Full-Time Analyst</t>
        </is>
      </c>
      <c r="G32" s="7" t="inlineStr"/>
      <c r="H32" s="7" t="inlineStr">
        <is>
          <t>Los Angeles, CA</t>
        </is>
      </c>
      <c r="I32" s="7" t="inlineStr"/>
      <c r="J32" s="7" t="inlineStr"/>
      <c r="K32" s="6" t="inlineStr">
        <is>
          <t>Open</t>
        </is>
      </c>
      <c r="L32" s="6" t="inlineStr">
        <is>
          <t>High</t>
        </is>
      </c>
      <c r="M32" s="7" t="inlineStr"/>
      <c r="N32" s="7" t="inlineStr">
        <is>
          <t>https://mufgub.wd3.myworkdayjobs.com/en-US/MUFG-Careers/job/Los-Angeles-CA/Investment-Banking-Analyst---Los-Angeles---Intrepid--Full-Time-2027-_10078814-WD</t>
        </is>
      </c>
      <c r="O32" s="7" t="inlineStr"/>
      <c r="P32" s="7" t="inlineStr"/>
      <c r="Q32" s="6" t="inlineStr">
        <is>
          <t>09/01/2026</t>
        </is>
      </c>
      <c r="R32" s="6" t="inlineStr">
        <is>
          <t>09/01/2026</t>
        </is>
      </c>
      <c r="S32" s="7" t="inlineStr"/>
      <c r="T32" s="7" t="inlineStr"/>
      <c r="U32" s="7" t="inlineStr"/>
      <c r="V32" s="8">
        <f>IF(S32="","",TODAY()-S32)</f>
        <v/>
      </c>
      <c r="W32" s="7" t="inlineStr"/>
      <c r="X32" s="7" t="inlineStr"/>
      <c r="Y32" s="7" t="inlineStr"/>
      <c r="Z32" s="7" t="inlineStr"/>
      <c r="AA32" s="7" t="inlineStr"/>
      <c r="AB32" s="7" t="inlineStr"/>
      <c r="AC32" s="7" t="inlineStr"/>
      <c r="AD32" s="7" t="inlineStr"/>
      <c r="AE32" s="7" t="inlineStr"/>
      <c r="AF32" s="7" t="inlineStr"/>
      <c r="AG32" s="7" t="inlineStr"/>
      <c r="AH32" s="7" t="inlineStr"/>
      <c r="AI32" s="7" t="inlineStr"/>
      <c r="AJ32" s="7" t="inlineStr"/>
      <c r="AK32" s="7" t="inlineStr"/>
    </row>
    <row r="33" ht="18" customHeight="1">
      <c r="A33" s="6" t="n">
        <v>30</v>
      </c>
      <c r="B33" s="7" t="inlineStr">
        <is>
          <t>MUFG</t>
        </is>
      </c>
      <c r="C33" s="7" t="inlineStr">
        <is>
          <t>Foreign Bank</t>
        </is>
      </c>
      <c r="D33" s="7" t="inlineStr">
        <is>
          <t>Investment Banking</t>
        </is>
      </c>
      <c r="E33" s="7" t="inlineStr">
        <is>
          <t>Investment Banking Analyst - Nashville - Intrepid (Full-Time 2027)</t>
        </is>
      </c>
      <c r="F33" s="6" t="inlineStr">
        <is>
          <t>Full-Time Analyst</t>
        </is>
      </c>
      <c r="G33" s="7" t="inlineStr"/>
      <c r="H33" s="7" t="inlineStr">
        <is>
          <t>Nashville, TN</t>
        </is>
      </c>
      <c r="I33" s="7" t="inlineStr"/>
      <c r="J33" s="7" t="inlineStr"/>
      <c r="K33" s="6" t="inlineStr">
        <is>
          <t>Open</t>
        </is>
      </c>
      <c r="L33" s="6" t="inlineStr">
        <is>
          <t>High</t>
        </is>
      </c>
      <c r="M33" s="7" t="inlineStr"/>
      <c r="N33" s="7" t="inlineStr">
        <is>
          <t>https://mufgub.wd3.myworkdayjobs.com/en-US/MUFG-Careers/job/Nashville-TN/Investment-Banking-Analyst---Nashville---Intrepid--Full-Time-2027-_10078947-WD</t>
        </is>
      </c>
      <c r="O33" s="7" t="inlineStr"/>
      <c r="P33" s="7" t="inlineStr"/>
      <c r="Q33" s="6" t="inlineStr">
        <is>
          <t>09/01/2026</t>
        </is>
      </c>
      <c r="R33" s="6" t="inlineStr">
        <is>
          <t>09/01/2026</t>
        </is>
      </c>
      <c r="S33" s="7" t="inlineStr"/>
      <c r="T33" s="7" t="inlineStr"/>
      <c r="U33" s="7" t="inlineStr"/>
      <c r="V33" s="8">
        <f>IF(S33="","",TODAY()-S33)</f>
        <v/>
      </c>
      <c r="W33" s="7" t="inlineStr"/>
      <c r="X33" s="7" t="inlineStr"/>
      <c r="Y33" s="7" t="inlineStr"/>
      <c r="Z33" s="7" t="inlineStr"/>
      <c r="AA33" s="7" t="inlineStr"/>
      <c r="AB33" s="7" t="inlineStr"/>
      <c r="AC33" s="7" t="inlineStr"/>
      <c r="AD33" s="7" t="inlineStr"/>
      <c r="AE33" s="7" t="inlineStr"/>
      <c r="AF33" s="7" t="inlineStr"/>
      <c r="AG33" s="7" t="inlineStr"/>
      <c r="AH33" s="7" t="inlineStr"/>
      <c r="AI33" s="7" t="inlineStr"/>
      <c r="AJ33" s="7" t="inlineStr"/>
      <c r="AK33" s="7" t="inlineStr"/>
    </row>
    <row r="34" ht="18" customHeight="1">
      <c r="A34" s="6" t="n">
        <v>31</v>
      </c>
      <c r="B34" s="7" t="inlineStr">
        <is>
          <t>MUFG</t>
        </is>
      </c>
      <c r="C34" s="7" t="inlineStr">
        <is>
          <t>Foreign Bank</t>
        </is>
      </c>
      <c r="D34" s="7" t="inlineStr">
        <is>
          <t>Investment Banking</t>
        </is>
      </c>
      <c r="E34" s="7" t="inlineStr">
        <is>
          <t>Investment Banking Analyst - New York -  Intrepid (Full-Time 2027)</t>
        </is>
      </c>
      <c r="F34" s="6" t="inlineStr">
        <is>
          <t>Full-Time Analyst</t>
        </is>
      </c>
      <c r="G34" s="7" t="inlineStr"/>
      <c r="H34" s="7" t="inlineStr">
        <is>
          <t>New York, NY</t>
        </is>
      </c>
      <c r="I34" s="7" t="inlineStr"/>
      <c r="J34" s="7" t="inlineStr"/>
      <c r="K34" s="6" t="inlineStr">
        <is>
          <t>Open</t>
        </is>
      </c>
      <c r="L34" s="6" t="inlineStr">
        <is>
          <t>High</t>
        </is>
      </c>
      <c r="M34" s="7" t="inlineStr"/>
      <c r="N34" s="7" t="inlineStr">
        <is>
          <t>https://mufgub.wd3.myworkdayjobs.com/en-US/MUFG-Careers/job/New-York-NY/Investment-Banking-Analyst---New-York----Intrepid--Full-Time-2027-_10078813-WD</t>
        </is>
      </c>
      <c r="O34" s="7" t="inlineStr"/>
      <c r="P34" s="7" t="inlineStr"/>
      <c r="Q34" s="6" t="inlineStr">
        <is>
          <t>09/01/2026</t>
        </is>
      </c>
      <c r="R34" s="6" t="inlineStr">
        <is>
          <t>09/01/2026</t>
        </is>
      </c>
      <c r="S34" s="7" t="inlineStr"/>
      <c r="T34" s="7" t="inlineStr"/>
      <c r="U34" s="7" t="inlineStr"/>
      <c r="V34" s="8">
        <f>IF(S34="","",TODAY()-S34)</f>
        <v/>
      </c>
      <c r="W34" s="7" t="inlineStr"/>
      <c r="X34" s="7" t="inlineStr"/>
      <c r="Y34" s="7" t="inlineStr"/>
      <c r="Z34" s="7" t="inlineStr"/>
      <c r="AA34" s="7" t="inlineStr"/>
      <c r="AB34" s="7" t="inlineStr"/>
      <c r="AC34" s="7" t="inlineStr"/>
      <c r="AD34" s="7" t="inlineStr"/>
      <c r="AE34" s="7" t="inlineStr"/>
      <c r="AF34" s="7" t="inlineStr"/>
      <c r="AG34" s="7" t="inlineStr"/>
      <c r="AH34" s="7" t="inlineStr"/>
      <c r="AI34" s="7" t="inlineStr"/>
      <c r="AJ34" s="7" t="inlineStr"/>
      <c r="AK34" s="7" t="inlineStr"/>
    </row>
    <row r="35" ht="18" customHeight="1">
      <c r="A35" s="6" t="n">
        <v>32</v>
      </c>
      <c r="B35" s="7" t="inlineStr">
        <is>
          <t>Mizuho (+ Greenhill)</t>
        </is>
      </c>
      <c r="C35" s="7" t="inlineStr">
        <is>
          <t>Foreign Bank</t>
        </is>
      </c>
      <c r="D35" s="7" t="inlineStr">
        <is>
          <t>Investment Banking</t>
        </is>
      </c>
      <c r="E35" s="7" t="inlineStr">
        <is>
          <t>Investment &amp; Corporate Banking - Financial Sponsors &amp; Strategic Solutions Group (FS&amp;SSG) – Analyst</t>
        </is>
      </c>
      <c r="F35" s="6" t="inlineStr">
        <is>
          <t>Full-Time Analyst</t>
        </is>
      </c>
      <c r="G35" s="7" t="inlineStr"/>
      <c r="H35" s="7" t="inlineStr">
        <is>
          <t>New York, NY (1271 AOA/6th Ave)</t>
        </is>
      </c>
      <c r="I35" s="7" t="inlineStr"/>
      <c r="J35" s="7" t="inlineStr"/>
      <c r="K35" s="6" t="inlineStr">
        <is>
          <t>Open</t>
        </is>
      </c>
      <c r="L35" s="6" t="inlineStr">
        <is>
          <t>High</t>
        </is>
      </c>
      <c r="M35" s="7" t="inlineStr"/>
      <c r="N35" s="7" t="inlineStr">
        <is>
          <t>https://mizuho.wd1.myworkdayjobs.com/en-US/mizuhoamericas/job/New-York-NY-1271-AOA6th-Ave/Investment---Corporate-Banking---Financial-Sponsors---Strategic-Solutions-Group--FS-SSG----Analyst_R6766-1</t>
        </is>
      </c>
      <c r="O35" s="7" t="inlineStr"/>
      <c r="P35" s="7" t="inlineStr"/>
      <c r="Q35" s="6" t="inlineStr">
        <is>
          <t>09/01/2026</t>
        </is>
      </c>
      <c r="R35" s="6" t="inlineStr">
        <is>
          <t>09/01/2026</t>
        </is>
      </c>
      <c r="S35" s="7" t="inlineStr"/>
      <c r="T35" s="7" t="inlineStr"/>
      <c r="U35" s="7" t="inlineStr"/>
      <c r="V35" s="8">
        <f>IF(S35="","",TODAY()-S35)</f>
        <v/>
      </c>
      <c r="W35" s="7" t="inlineStr"/>
      <c r="X35" s="7" t="inlineStr"/>
      <c r="Y35" s="7" t="inlineStr"/>
      <c r="Z35" s="7" t="inlineStr"/>
      <c r="AA35" s="7" t="inlineStr"/>
      <c r="AB35" s="7" t="inlineStr"/>
      <c r="AC35" s="7" t="inlineStr"/>
      <c r="AD35" s="7" t="inlineStr"/>
      <c r="AE35" s="7" t="inlineStr"/>
      <c r="AF35" s="7" t="inlineStr"/>
      <c r="AG35" s="7" t="inlineStr"/>
      <c r="AH35" s="7" t="inlineStr"/>
      <c r="AI35" s="7" t="inlineStr"/>
      <c r="AJ35" s="7" t="inlineStr"/>
      <c r="AK35" s="7" t="inlineStr"/>
    </row>
    <row r="36" ht="18" customHeight="1">
      <c r="A36" s="6" t="n">
        <v>33</v>
      </c>
      <c r="B36" s="7" t="inlineStr">
        <is>
          <t>Mizuho (+ Greenhill)</t>
        </is>
      </c>
      <c r="C36" s="7" t="inlineStr">
        <is>
          <t>Foreign Bank</t>
        </is>
      </c>
      <c r="D36" s="7" t="inlineStr">
        <is>
          <t>Investment Banking</t>
        </is>
      </c>
      <c r="E36" s="7" t="inlineStr">
        <is>
          <t>Mizuho | Greenhill - Investment Banking M&amp;A Analyst</t>
        </is>
      </c>
      <c r="F36" s="6" t="inlineStr">
        <is>
          <t>Full-Time Analyst</t>
        </is>
      </c>
      <c r="G36" s="7" t="inlineStr"/>
      <c r="H36" s="7" t="inlineStr">
        <is>
          <t>New York, NY (1271 AOA/6th Ave)</t>
        </is>
      </c>
      <c r="I36" s="7" t="inlineStr"/>
      <c r="J36" s="7" t="inlineStr"/>
      <c r="K36" s="6" t="inlineStr">
        <is>
          <t>Open</t>
        </is>
      </c>
      <c r="L36" s="6" t="inlineStr">
        <is>
          <t>High</t>
        </is>
      </c>
      <c r="M36" s="7" t="inlineStr"/>
      <c r="N36" s="7" t="inlineStr">
        <is>
          <t>https://mizuho.wd1.myworkdayjobs.com/en-US/mizuhoamericas/job/New-York-NY-1271-AOA6th-Ave/Mizuho---Greenhill---Investment-Banking-M-A-Analyst_R7138</t>
        </is>
      </c>
      <c r="O36" s="7" t="inlineStr"/>
      <c r="P36" s="7" t="inlineStr"/>
      <c r="Q36" s="6" t="inlineStr">
        <is>
          <t>09/01/2026</t>
        </is>
      </c>
      <c r="R36" s="6" t="inlineStr">
        <is>
          <t>09/01/2026</t>
        </is>
      </c>
      <c r="S36" s="7" t="inlineStr"/>
      <c r="T36" s="7" t="inlineStr"/>
      <c r="U36" s="7" t="inlineStr"/>
      <c r="V36" s="8">
        <f>IF(S36="","",TODAY()-S36)</f>
        <v/>
      </c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7" t="inlineStr"/>
      <c r="AF36" s="7" t="inlineStr"/>
      <c r="AG36" s="7" t="inlineStr"/>
      <c r="AH36" s="7" t="inlineStr"/>
      <c r="AI36" s="7" t="inlineStr"/>
      <c r="AJ36" s="7" t="inlineStr"/>
      <c r="AK36" s="7" t="inlineStr"/>
    </row>
    <row r="37" ht="18" customHeight="1">
      <c r="A37" s="6" t="n">
        <v>34</v>
      </c>
      <c r="B37" s="7" t="inlineStr">
        <is>
          <t>Piper Sandler</t>
        </is>
      </c>
      <c r="C37" s="7" t="inlineStr">
        <is>
          <t>Middle Market</t>
        </is>
      </c>
      <c r="D37" s="7" t="inlineStr">
        <is>
          <t>Investment Banking</t>
        </is>
      </c>
      <c r="E37" s="7" t="inlineStr">
        <is>
          <t>2027 Investment Banking Analyst - Boston Technology</t>
        </is>
      </c>
      <c r="F37" s="6" t="inlineStr">
        <is>
          <t>Full-Time Analyst</t>
        </is>
      </c>
      <c r="G37" s="7" t="inlineStr"/>
      <c r="H37" s="7" t="inlineStr">
        <is>
          <t>Boston, MA</t>
        </is>
      </c>
      <c r="I37" s="7" t="inlineStr"/>
      <c r="J37" s="7" t="inlineStr"/>
      <c r="K37" s="6" t="inlineStr">
        <is>
          <t>Open</t>
        </is>
      </c>
      <c r="L37" s="6" t="inlineStr">
        <is>
          <t>High</t>
        </is>
      </c>
      <c r="M37" s="7" t="inlineStr"/>
      <c r="N37" s="7" t="inlineStr">
        <is>
          <t>https://pipersandler.wd501.myworkdayjobs.com/en-US/Piper_Sandler_Careers/job/Boston-MA/XMLNAME-2027-Investment-Banking-Analyst---Boston-Technology_R-100654</t>
        </is>
      </c>
      <c r="O37" s="7" t="inlineStr"/>
      <c r="P37" s="7" t="inlineStr"/>
      <c r="Q37" s="6" t="inlineStr">
        <is>
          <t>09/01/2026</t>
        </is>
      </c>
      <c r="R37" s="6" t="inlineStr">
        <is>
          <t>09/01/2026</t>
        </is>
      </c>
      <c r="S37" s="7" t="inlineStr"/>
      <c r="T37" s="7" t="inlineStr"/>
      <c r="U37" s="7" t="inlineStr"/>
      <c r="V37" s="8">
        <f>IF(S37="","",TODAY()-S37)</f>
        <v/>
      </c>
      <c r="W37" s="7" t="inlineStr"/>
      <c r="X37" s="7" t="inlineStr"/>
      <c r="Y37" s="7" t="inlineStr"/>
      <c r="Z37" s="7" t="inlineStr"/>
      <c r="AA37" s="7" t="inlineStr"/>
      <c r="AB37" s="7" t="inlineStr"/>
      <c r="AC37" s="7" t="inlineStr"/>
      <c r="AD37" s="7" t="inlineStr"/>
      <c r="AE37" s="7" t="inlineStr"/>
      <c r="AF37" s="7" t="inlineStr"/>
      <c r="AG37" s="7" t="inlineStr"/>
      <c r="AH37" s="7" t="inlineStr"/>
      <c r="AI37" s="7" t="inlineStr"/>
      <c r="AJ37" s="7" t="inlineStr"/>
      <c r="AK37" s="7" t="inlineStr"/>
    </row>
    <row r="38" ht="18" customHeight="1">
      <c r="A38" s="6" t="n">
        <v>35</v>
      </c>
      <c r="B38" s="7" t="inlineStr">
        <is>
          <t>Piper Sandler</t>
        </is>
      </c>
      <c r="C38" s="7" t="inlineStr">
        <is>
          <t>Middle Market</t>
        </is>
      </c>
      <c r="D38" s="7" t="inlineStr">
        <is>
          <t>Investment Banking</t>
        </is>
      </c>
      <c r="E38" s="7" t="inlineStr">
        <is>
          <t>2027 Investment Banking Analyst – Energy, Power &amp; Infrastructure (Upstream)</t>
        </is>
      </c>
      <c r="F38" s="6" t="inlineStr">
        <is>
          <t>Full-Time Analyst</t>
        </is>
      </c>
      <c r="G38" s="7" t="inlineStr"/>
      <c r="H38" s="7" t="inlineStr">
        <is>
          <t>Houston 4, TX-Main Street</t>
        </is>
      </c>
      <c r="I38" s="7" t="inlineStr"/>
      <c r="J38" s="7" t="inlineStr"/>
      <c r="K38" s="6" t="inlineStr">
        <is>
          <t>Open</t>
        </is>
      </c>
      <c r="L38" s="6" t="inlineStr">
        <is>
          <t>High</t>
        </is>
      </c>
      <c r="M38" s="7" t="inlineStr"/>
      <c r="N38" s="7" t="inlineStr">
        <is>
          <t>https://pipersandler.wd501.myworkdayjobs.com/en-US/Piper_Sandler_Careers/job/Houston-4-TX-Main-Street/XMLNAME-2027-Investment-Banking-Analyst---Energy--Power---Infrastructure_R-100633</t>
        </is>
      </c>
      <c r="O38" s="7" t="inlineStr"/>
      <c r="P38" s="7" t="inlineStr"/>
      <c r="Q38" s="6" t="inlineStr">
        <is>
          <t>09/01/2026</t>
        </is>
      </c>
      <c r="R38" s="6" t="inlineStr">
        <is>
          <t>09/01/2026</t>
        </is>
      </c>
      <c r="S38" s="7" t="inlineStr"/>
      <c r="T38" s="7" t="inlineStr"/>
      <c r="U38" s="7" t="inlineStr"/>
      <c r="V38" s="8">
        <f>IF(S38="","",TODAY()-S38)</f>
        <v/>
      </c>
      <c r="W38" s="7" t="inlineStr"/>
      <c r="X38" s="7" t="inlineStr"/>
      <c r="Y38" s="7" t="inlineStr"/>
      <c r="Z38" s="7" t="inlineStr"/>
      <c r="AA38" s="7" t="inlineStr"/>
      <c r="AB38" s="7" t="inlineStr"/>
      <c r="AC38" s="7" t="inlineStr"/>
      <c r="AD38" s="7" t="inlineStr"/>
      <c r="AE38" s="7" t="inlineStr"/>
      <c r="AF38" s="7" t="inlineStr"/>
      <c r="AG38" s="7" t="inlineStr"/>
      <c r="AH38" s="7" t="inlineStr"/>
      <c r="AI38" s="7" t="inlineStr"/>
      <c r="AJ38" s="7" t="inlineStr"/>
      <c r="AK38" s="7" t="inlineStr"/>
    </row>
    <row r="39" ht="18" customHeight="1">
      <c r="A39" s="6" t="n">
        <v>36</v>
      </c>
      <c r="B39" s="7" t="inlineStr">
        <is>
          <t>Piper Sandler</t>
        </is>
      </c>
      <c r="C39" s="7" t="inlineStr">
        <is>
          <t>Middle Market</t>
        </is>
      </c>
      <c r="D39" s="7" t="inlineStr">
        <is>
          <t>Investment Banking</t>
        </is>
      </c>
      <c r="E39" s="7" t="inlineStr">
        <is>
          <t>2027 Investment Banking Analyst – Technology</t>
        </is>
      </c>
      <c r="F39" s="6" t="inlineStr">
        <is>
          <t>Full-Time Analyst</t>
        </is>
      </c>
      <c r="G39" s="7" t="inlineStr"/>
      <c r="H39" s="7" t="inlineStr">
        <is>
          <t>San Francisco, CA</t>
        </is>
      </c>
      <c r="I39" s="7" t="inlineStr"/>
      <c r="J39" s="7" t="inlineStr"/>
      <c r="K39" s="6" t="inlineStr">
        <is>
          <t>Open</t>
        </is>
      </c>
      <c r="L39" s="6" t="inlineStr">
        <is>
          <t>High</t>
        </is>
      </c>
      <c r="M39" s="7" t="inlineStr"/>
      <c r="N39" s="7" t="inlineStr">
        <is>
          <t>https://pipersandler.wd501.myworkdayjobs.com/en-US/Piper_Sandler_Careers/job/San-Francisco-CA/XMLNAME-2027-Investment-Banking-Analyst---Technology_R-100634</t>
        </is>
      </c>
      <c r="O39" s="7" t="inlineStr"/>
      <c r="P39" s="7" t="inlineStr"/>
      <c r="Q39" s="6" t="inlineStr">
        <is>
          <t>09/01/2026</t>
        </is>
      </c>
      <c r="R39" s="6" t="inlineStr">
        <is>
          <t>09/01/2026</t>
        </is>
      </c>
      <c r="S39" s="7" t="inlineStr"/>
      <c r="T39" s="7" t="inlineStr"/>
      <c r="U39" s="7" t="inlineStr"/>
      <c r="V39" s="8">
        <f>IF(S39="","",TODAY()-S39)</f>
        <v/>
      </c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7" t="inlineStr"/>
      <c r="AF39" s="7" t="inlineStr"/>
      <c r="AG39" s="7" t="inlineStr"/>
      <c r="AH39" s="7" t="inlineStr"/>
      <c r="AI39" s="7" t="inlineStr"/>
      <c r="AJ39" s="7" t="inlineStr"/>
      <c r="AK39" s="7" t="inlineStr"/>
    </row>
    <row r="40" ht="18" customHeight="1">
      <c r="A40" s="6" t="n">
        <v>37</v>
      </c>
      <c r="B40" s="7" t="inlineStr">
        <is>
          <t>Piper Sandler</t>
        </is>
      </c>
      <c r="C40" s="7" t="inlineStr">
        <is>
          <t>Middle Market</t>
        </is>
      </c>
      <c r="D40" s="7" t="inlineStr">
        <is>
          <t>Investment Banking</t>
        </is>
      </c>
      <c r="E40" s="7" t="inlineStr">
        <is>
          <t>Campus Recruiting - 2027 Investment Banking Analyst - Chemicals</t>
        </is>
      </c>
      <c r="F40" s="6" t="inlineStr">
        <is>
          <t>Full-Time Analyst</t>
        </is>
      </c>
      <c r="G40" s="7" t="inlineStr"/>
      <c r="H40" s="7" t="inlineStr">
        <is>
          <t>New York, NY</t>
        </is>
      </c>
      <c r="I40" s="7" t="inlineStr"/>
      <c r="J40" s="7" t="inlineStr"/>
      <c r="K40" s="6" t="inlineStr">
        <is>
          <t>Open</t>
        </is>
      </c>
      <c r="L40" s="6" t="inlineStr">
        <is>
          <t>High</t>
        </is>
      </c>
      <c r="M40" s="7" t="inlineStr"/>
      <c r="N40" s="7" t="inlineStr">
        <is>
          <t>https://pipersandler.wd501.myworkdayjobs.com/en-US/Piper_Sandler_Careers/job/New-York-NY/Investment-Banking-Analyst---Chemicals_R-100667</t>
        </is>
      </c>
      <c r="O40" s="7" t="inlineStr"/>
      <c r="P40" s="7" t="inlineStr"/>
      <c r="Q40" s="6" t="inlineStr">
        <is>
          <t>09/01/2026</t>
        </is>
      </c>
      <c r="R40" s="6" t="inlineStr">
        <is>
          <t>09/01/2026</t>
        </is>
      </c>
      <c r="S40" s="7" t="inlineStr"/>
      <c r="T40" s="7" t="inlineStr"/>
      <c r="U40" s="7" t="inlineStr"/>
      <c r="V40" s="8">
        <f>IF(S40="","",TODAY()-S40)</f>
        <v/>
      </c>
      <c r="W40" s="7" t="inlineStr"/>
      <c r="X40" s="7" t="inlineStr"/>
      <c r="Y40" s="7" t="inlineStr"/>
      <c r="Z40" s="7" t="inlineStr"/>
      <c r="AA40" s="7" t="inlineStr"/>
      <c r="AB40" s="7" t="inlineStr"/>
      <c r="AC40" s="7" t="inlineStr"/>
      <c r="AD40" s="7" t="inlineStr"/>
      <c r="AE40" s="7" t="inlineStr"/>
      <c r="AF40" s="7" t="inlineStr"/>
      <c r="AG40" s="7" t="inlineStr"/>
      <c r="AH40" s="7" t="inlineStr"/>
      <c r="AI40" s="7" t="inlineStr"/>
      <c r="AJ40" s="7" t="inlineStr"/>
      <c r="AK40" s="7" t="inlineStr"/>
    </row>
    <row r="41" ht="18" customHeight="1">
      <c r="A41" s="6" t="n">
        <v>38</v>
      </c>
      <c r="B41" s="7" t="inlineStr">
        <is>
          <t>Piper Sandler</t>
        </is>
      </c>
      <c r="C41" s="7" t="inlineStr">
        <is>
          <t>Middle Market</t>
        </is>
      </c>
      <c r="D41" s="7" t="inlineStr">
        <is>
          <t>Investment Banking</t>
        </is>
      </c>
      <c r="E41" s="7" t="inlineStr">
        <is>
          <t>Campus Recruiting - 2027 Investment Banking Analyst - Healthcare</t>
        </is>
      </c>
      <c r="F41" s="6" t="inlineStr">
        <is>
          <t>Full-Time Analyst</t>
        </is>
      </c>
      <c r="G41" s="7" t="inlineStr"/>
      <c r="H41" s="7" t="inlineStr">
        <is>
          <t>New York, NY</t>
        </is>
      </c>
      <c r="I41" s="7" t="inlineStr"/>
      <c r="J41" s="7" t="inlineStr"/>
      <c r="K41" s="6" t="inlineStr">
        <is>
          <t>Open</t>
        </is>
      </c>
      <c r="L41" s="6" t="inlineStr">
        <is>
          <t>High</t>
        </is>
      </c>
      <c r="M41" s="7" t="inlineStr"/>
      <c r="N41" s="7" t="inlineStr">
        <is>
          <t>https://pipersandler.wd501.myworkdayjobs.com/en-US/Piper_Sandler_Careers/job/New-York-NY/Campus-Recruiting---2027-Investment-Banking-Analyst---Healthcare_R-100668</t>
        </is>
      </c>
      <c r="O41" s="7" t="inlineStr"/>
      <c r="P41" s="7" t="inlineStr"/>
      <c r="Q41" s="6" t="inlineStr">
        <is>
          <t>09/01/2026</t>
        </is>
      </c>
      <c r="R41" s="6" t="inlineStr">
        <is>
          <t>09/01/2026</t>
        </is>
      </c>
      <c r="S41" s="7" t="inlineStr"/>
      <c r="T41" s="7" t="inlineStr"/>
      <c r="U41" s="7" t="inlineStr"/>
      <c r="V41" s="8">
        <f>IF(S41="","",TODAY()-S41)</f>
        <v/>
      </c>
      <c r="W41" s="7" t="inlineStr"/>
      <c r="X41" s="7" t="inlineStr"/>
      <c r="Y41" s="7" t="inlineStr"/>
      <c r="Z41" s="7" t="inlineStr"/>
      <c r="AA41" s="7" t="inlineStr"/>
      <c r="AB41" s="7" t="inlineStr"/>
      <c r="AC41" s="7" t="inlineStr"/>
      <c r="AD41" s="7" t="inlineStr"/>
      <c r="AE41" s="7" t="inlineStr"/>
      <c r="AF41" s="7" t="inlineStr"/>
      <c r="AG41" s="7" t="inlineStr"/>
      <c r="AH41" s="7" t="inlineStr"/>
      <c r="AI41" s="7" t="inlineStr"/>
      <c r="AJ41" s="7" t="inlineStr"/>
      <c r="AK41" s="7" t="inlineStr"/>
    </row>
    <row r="42" ht="18" customHeight="1">
      <c r="A42" s="6" t="n">
        <v>39</v>
      </c>
      <c r="B42" s="7" t="inlineStr">
        <is>
          <t>Piper Sandler</t>
        </is>
      </c>
      <c r="C42" s="7" t="inlineStr">
        <is>
          <t>Middle Market</t>
        </is>
      </c>
      <c r="D42" s="7" t="inlineStr">
        <is>
          <t>Investment Banking</t>
        </is>
      </c>
      <c r="E42" s="7" t="inlineStr">
        <is>
          <t>Campus Recruiting - 2027 Investment Banking Analyst - Secondary Capital Advisory</t>
        </is>
      </c>
      <c r="F42" s="6" t="inlineStr">
        <is>
          <t>Full-Time Analyst</t>
        </is>
      </c>
      <c r="G42" s="7" t="inlineStr"/>
      <c r="H42" s="7" t="inlineStr">
        <is>
          <t>New York, NY</t>
        </is>
      </c>
      <c r="I42" s="7" t="inlineStr"/>
      <c r="J42" s="7" t="inlineStr"/>
      <c r="K42" s="6" t="inlineStr">
        <is>
          <t>Open</t>
        </is>
      </c>
      <c r="L42" s="6" t="inlineStr">
        <is>
          <t>High</t>
        </is>
      </c>
      <c r="M42" s="7" t="inlineStr"/>
      <c r="N42" s="7" t="inlineStr">
        <is>
          <t>https://pipersandler.wd501.myworkdayjobs.com/en-US/Piper_Sandler_Careers/job/New-York-NY/Campus-Recruiting---2027-Investment-Banking-Analyst---Secondary-Capital-Advisory_R-100673</t>
        </is>
      </c>
      <c r="O42" s="7" t="inlineStr"/>
      <c r="P42" s="7" t="inlineStr"/>
      <c r="Q42" s="6" t="inlineStr">
        <is>
          <t>09/01/2026</t>
        </is>
      </c>
      <c r="R42" s="6" t="inlineStr">
        <is>
          <t>09/01/2026</t>
        </is>
      </c>
      <c r="S42" s="7" t="inlineStr"/>
      <c r="T42" s="7" t="inlineStr"/>
      <c r="U42" s="7" t="inlineStr"/>
      <c r="V42" s="8">
        <f>IF(S42="","",TODAY()-S42)</f>
        <v/>
      </c>
      <c r="W42" s="7" t="inlineStr"/>
      <c r="X42" s="7" t="inlineStr"/>
      <c r="Y42" s="7" t="inlineStr"/>
      <c r="Z42" s="7" t="inlineStr"/>
      <c r="AA42" s="7" t="inlineStr"/>
      <c r="AB42" s="7" t="inlineStr"/>
      <c r="AC42" s="7" t="inlineStr"/>
      <c r="AD42" s="7" t="inlineStr"/>
      <c r="AE42" s="7" t="inlineStr"/>
      <c r="AF42" s="7" t="inlineStr"/>
      <c r="AG42" s="7" t="inlineStr"/>
      <c r="AH42" s="7" t="inlineStr"/>
      <c r="AI42" s="7" t="inlineStr"/>
      <c r="AJ42" s="7" t="inlineStr"/>
      <c r="AK42" s="7" t="inlineStr"/>
    </row>
    <row r="43" ht="18" customHeight="1">
      <c r="A43" s="6" t="n">
        <v>40</v>
      </c>
      <c r="B43" s="7" t="inlineStr">
        <is>
          <t>Piper Sandler</t>
        </is>
      </c>
      <c r="C43" s="7" t="inlineStr">
        <is>
          <t>Middle Market</t>
        </is>
      </c>
      <c r="D43" s="7" t="inlineStr">
        <is>
          <t>Investment Banking</t>
        </is>
      </c>
      <c r="E43" s="7" t="inlineStr">
        <is>
          <t>Investment Banking Analyst</t>
        </is>
      </c>
      <c r="F43" s="6" t="inlineStr">
        <is>
          <t>Full-Time Analyst</t>
        </is>
      </c>
      <c r="G43" s="7" t="inlineStr"/>
      <c r="H43" s="7" t="inlineStr">
        <is>
          <t>Atlanta, GA</t>
        </is>
      </c>
      <c r="I43" s="7" t="inlineStr"/>
      <c r="J43" s="7" t="inlineStr"/>
      <c r="K43" s="6" t="inlineStr">
        <is>
          <t>Open</t>
        </is>
      </c>
      <c r="L43" s="6" t="inlineStr">
        <is>
          <t>High</t>
        </is>
      </c>
      <c r="M43" s="7" t="inlineStr"/>
      <c r="N43" s="7" t="inlineStr">
        <is>
          <t>https://pipersandler.wd501.myworkdayjobs.com/en-US/Piper_Sandler_Careers/job/Atlanta-GA/Investment-Banking-Analyst_R-100645-1</t>
        </is>
      </c>
      <c r="O43" s="7" t="inlineStr"/>
      <c r="P43" s="7" t="inlineStr"/>
      <c r="Q43" s="6" t="inlineStr">
        <is>
          <t>09/01/2026</t>
        </is>
      </c>
      <c r="R43" s="6" t="inlineStr">
        <is>
          <t>09/01/2026</t>
        </is>
      </c>
      <c r="S43" s="7" t="inlineStr"/>
      <c r="T43" s="7" t="inlineStr"/>
      <c r="U43" s="7" t="inlineStr"/>
      <c r="V43" s="8">
        <f>IF(S43="","",TODAY()-S43)</f>
        <v/>
      </c>
      <c r="W43" s="7" t="inlineStr"/>
      <c r="X43" s="7" t="inlineStr"/>
      <c r="Y43" s="7" t="inlineStr"/>
      <c r="Z43" s="7" t="inlineStr"/>
      <c r="AA43" s="7" t="inlineStr"/>
      <c r="AB43" s="7" t="inlineStr"/>
      <c r="AC43" s="7" t="inlineStr"/>
      <c r="AD43" s="7" t="inlineStr"/>
      <c r="AE43" s="7" t="inlineStr"/>
      <c r="AF43" s="7" t="inlineStr"/>
      <c r="AG43" s="7" t="inlineStr"/>
      <c r="AH43" s="7" t="inlineStr"/>
      <c r="AI43" s="7" t="inlineStr"/>
      <c r="AJ43" s="7" t="inlineStr"/>
      <c r="AK43" s="7" t="inlineStr"/>
    </row>
    <row r="44" ht="18" customHeight="1">
      <c r="A44" s="6" t="n">
        <v>41</v>
      </c>
      <c r="B44" s="7" t="inlineStr">
        <is>
          <t>Piper Sandler</t>
        </is>
      </c>
      <c r="C44" s="7" t="inlineStr">
        <is>
          <t>Middle Market</t>
        </is>
      </c>
      <c r="D44" s="7" t="inlineStr">
        <is>
          <t>Investment Banking</t>
        </is>
      </c>
      <c r="E44" s="7" t="inlineStr">
        <is>
          <t>Investment Banking Analyst - ECM</t>
        </is>
      </c>
      <c r="F44" s="6" t="inlineStr">
        <is>
          <t>Full-Time Analyst</t>
        </is>
      </c>
      <c r="G44" s="7" t="inlineStr"/>
      <c r="H44" s="7" t="inlineStr">
        <is>
          <t>Minneapolis, MN - HQ</t>
        </is>
      </c>
      <c r="I44" s="7" t="inlineStr"/>
      <c r="J44" s="7" t="inlineStr"/>
      <c r="K44" s="6" t="inlineStr">
        <is>
          <t>Open</t>
        </is>
      </c>
      <c r="L44" s="6" t="inlineStr">
        <is>
          <t>High</t>
        </is>
      </c>
      <c r="M44" s="7" t="inlineStr"/>
      <c r="N44" s="7" t="inlineStr">
        <is>
          <t>https://pipersandler.wd501.myworkdayjobs.com/en-US/Piper_Sandler_Careers/job/Minneapolis-MN---HQ/Investment-Banking-Analyst---ECM_R-100609</t>
        </is>
      </c>
      <c r="O44" s="7" t="inlineStr"/>
      <c r="P44" s="7" t="inlineStr"/>
      <c r="Q44" s="6" t="inlineStr">
        <is>
          <t>09/01/2026</t>
        </is>
      </c>
      <c r="R44" s="6" t="inlineStr">
        <is>
          <t>09/01/2026</t>
        </is>
      </c>
      <c r="S44" s="7" t="inlineStr"/>
      <c r="T44" s="7" t="inlineStr"/>
      <c r="U44" s="7" t="inlineStr"/>
      <c r="V44" s="8">
        <f>IF(S44="","",TODAY()-S44)</f>
        <v/>
      </c>
      <c r="W44" s="7" t="inlineStr"/>
      <c r="X44" s="7" t="inlineStr"/>
      <c r="Y44" s="7" t="inlineStr"/>
      <c r="Z44" s="7" t="inlineStr"/>
      <c r="AA44" s="7" t="inlineStr"/>
      <c r="AB44" s="7" t="inlineStr"/>
      <c r="AC44" s="7" t="inlineStr"/>
      <c r="AD44" s="7" t="inlineStr"/>
      <c r="AE44" s="7" t="inlineStr"/>
      <c r="AF44" s="7" t="inlineStr"/>
      <c r="AG44" s="7" t="inlineStr"/>
      <c r="AH44" s="7" t="inlineStr"/>
      <c r="AI44" s="7" t="inlineStr"/>
      <c r="AJ44" s="7" t="inlineStr"/>
      <c r="AK44" s="7" t="inlineStr"/>
    </row>
    <row r="45" ht="18" customHeight="1">
      <c r="A45" s="6" t="n">
        <v>42</v>
      </c>
      <c r="B45" s="7" t="inlineStr">
        <is>
          <t>Piper Sandler</t>
        </is>
      </c>
      <c r="C45" s="7" t="inlineStr">
        <is>
          <t>Middle Market</t>
        </is>
      </c>
      <c r="D45" s="7" t="inlineStr">
        <is>
          <t>Investment Banking</t>
        </is>
      </c>
      <c r="E45" s="7" t="inlineStr">
        <is>
          <t>Public Finance Investment Banking Analyst</t>
        </is>
      </c>
      <c r="F45" s="6" t="inlineStr">
        <is>
          <t>Full-Time Analyst</t>
        </is>
      </c>
      <c r="G45" s="7" t="inlineStr"/>
      <c r="H45" s="7" t="inlineStr">
        <is>
          <t>Leawood, KS</t>
        </is>
      </c>
      <c r="I45" s="7" t="inlineStr"/>
      <c r="J45" s="7" t="inlineStr"/>
      <c r="K45" s="6" t="inlineStr">
        <is>
          <t>Open</t>
        </is>
      </c>
      <c r="L45" s="6" t="inlineStr">
        <is>
          <t>High</t>
        </is>
      </c>
      <c r="M45" s="7" t="inlineStr"/>
      <c r="N45" s="7" t="inlineStr">
        <is>
          <t>https://pipersandler.wd501.myworkdayjobs.com/en-US/Piper_Sandler_Careers/job/Leawood-KS/Public-Finance-Investment-Banking-Analyst_R-100601-1</t>
        </is>
      </c>
      <c r="O45" s="7" t="inlineStr"/>
      <c r="P45" s="7" t="inlineStr"/>
      <c r="Q45" s="6" t="inlineStr">
        <is>
          <t>09/01/2026</t>
        </is>
      </c>
      <c r="R45" s="6" t="inlineStr">
        <is>
          <t>09/01/2026</t>
        </is>
      </c>
      <c r="S45" s="7" t="inlineStr"/>
      <c r="T45" s="7" t="inlineStr"/>
      <c r="U45" s="7" t="inlineStr"/>
      <c r="V45" s="8">
        <f>IF(S45="","",TODAY()-S45)</f>
        <v/>
      </c>
      <c r="W45" s="7" t="inlineStr"/>
      <c r="X45" s="7" t="inlineStr"/>
      <c r="Y45" s="7" t="inlineStr"/>
      <c r="Z45" s="7" t="inlineStr"/>
      <c r="AA45" s="7" t="inlineStr"/>
      <c r="AB45" s="7" t="inlineStr"/>
      <c r="AC45" s="7" t="inlineStr"/>
      <c r="AD45" s="7" t="inlineStr"/>
      <c r="AE45" s="7" t="inlineStr"/>
      <c r="AF45" s="7" t="inlineStr"/>
      <c r="AG45" s="7" t="inlineStr"/>
      <c r="AH45" s="7" t="inlineStr"/>
      <c r="AI45" s="7" t="inlineStr"/>
      <c r="AJ45" s="7" t="inlineStr"/>
      <c r="AK45" s="7" t="inlineStr"/>
    </row>
    <row r="46" ht="18" customHeight="1">
      <c r="A46" s="6" t="n">
        <v>43</v>
      </c>
      <c r="B46" s="7" t="inlineStr">
        <is>
          <t>Scotiabank</t>
        </is>
      </c>
      <c r="C46" s="7" t="inlineStr">
        <is>
          <t>Foreign Bank</t>
        </is>
      </c>
      <c r="D46" s="7" t="inlineStr">
        <is>
          <t>Investment Banking</t>
        </is>
      </c>
      <c r="E46" s="7" t="inlineStr">
        <is>
          <t>Analyst, Corporate Finance Advisory (New York City, NY, US, 10281)</t>
        </is>
      </c>
      <c r="F46" s="6" t="inlineStr">
        <is>
          <t>Full-Time Analyst</t>
        </is>
      </c>
      <c r="G46" s="7" t="inlineStr"/>
      <c r="H46" s="7" t="inlineStr"/>
      <c r="I46" s="7" t="inlineStr"/>
      <c r="J46" s="7" t="inlineStr"/>
      <c r="K46" s="6" t="inlineStr">
        <is>
          <t>Open</t>
        </is>
      </c>
      <c r="L46" s="6" t="inlineStr">
        <is>
          <t>High</t>
        </is>
      </c>
      <c r="M46" s="7" t="inlineStr"/>
      <c r="N46" s="7" t="inlineStr">
        <is>
          <t>https://jobs.scotiabank.com/job/New-York-City-Analyst%2C-Corporate-Finance-Advisory-NY-10281/603574617/</t>
        </is>
      </c>
      <c r="O46" s="7" t="inlineStr"/>
      <c r="P46" s="7" t="inlineStr"/>
      <c r="Q46" s="6" t="inlineStr">
        <is>
          <t>09/01/2026</t>
        </is>
      </c>
      <c r="R46" s="6" t="inlineStr">
        <is>
          <t>09/01/2026</t>
        </is>
      </c>
      <c r="S46" s="7" t="inlineStr"/>
      <c r="T46" s="7" t="inlineStr"/>
      <c r="U46" s="7" t="inlineStr"/>
      <c r="V46" s="8">
        <f>IF(S46="","",TODAY()-S46)</f>
        <v/>
      </c>
      <c r="W46" s="7" t="inlineStr"/>
      <c r="X46" s="7" t="inlineStr"/>
      <c r="Y46" s="7" t="inlineStr"/>
      <c r="Z46" s="7" t="inlineStr"/>
      <c r="AA46" s="7" t="inlineStr"/>
      <c r="AB46" s="7" t="inlineStr"/>
      <c r="AC46" s="7" t="inlineStr"/>
      <c r="AD46" s="7" t="inlineStr"/>
      <c r="AE46" s="7" t="inlineStr"/>
      <c r="AF46" s="7" t="inlineStr"/>
      <c r="AG46" s="7" t="inlineStr"/>
      <c r="AH46" s="7" t="inlineStr"/>
      <c r="AI46" s="7" t="inlineStr"/>
      <c r="AJ46" s="7" t="inlineStr"/>
      <c r="AK46" s="7" t="inlineStr"/>
    </row>
    <row r="47" ht="18" customHeight="1">
      <c r="A47" s="6" t="n">
        <v>44</v>
      </c>
      <c r="B47" s="7" t="inlineStr">
        <is>
          <t>Scotiabank</t>
        </is>
      </c>
      <c r="C47" s="7" t="inlineStr">
        <is>
          <t>Foreign Bank</t>
        </is>
      </c>
      <c r="D47" s="7" t="inlineStr">
        <is>
          <t>Investment Banking</t>
        </is>
      </c>
      <c r="E47" s="7" t="inlineStr">
        <is>
          <t>Analyst, Mortgage Capital Markets, Global Capital Markets (Houston, TX, US, 77002)</t>
        </is>
      </c>
      <c r="F47" s="6" t="inlineStr">
        <is>
          <t>Full-Time Analyst</t>
        </is>
      </c>
      <c r="G47" s="7" t="inlineStr"/>
      <c r="H47" s="7" t="inlineStr"/>
      <c r="I47" s="7" t="inlineStr"/>
      <c r="J47" s="7" t="inlineStr"/>
      <c r="K47" s="6" t="inlineStr">
        <is>
          <t>Open</t>
        </is>
      </c>
      <c r="L47" s="6" t="inlineStr">
        <is>
          <t>High</t>
        </is>
      </c>
      <c r="M47" s="7" t="inlineStr"/>
      <c r="N47" s="7" t="inlineStr">
        <is>
          <t>https://jobs.scotiabank.com/job/Houston-Analyst%2C-Mortgage-Capital-Markets%2C-Global-Capital-Markets-TX-77002/592295317/</t>
        </is>
      </c>
      <c r="O47" s="7" t="inlineStr"/>
      <c r="P47" s="7" t="inlineStr"/>
      <c r="Q47" s="6" t="inlineStr">
        <is>
          <t>09/01/2026</t>
        </is>
      </c>
      <c r="R47" s="6" t="inlineStr">
        <is>
          <t>09/01/2026</t>
        </is>
      </c>
      <c r="S47" s="7" t="inlineStr"/>
      <c r="T47" s="7" t="inlineStr"/>
      <c r="U47" s="7" t="inlineStr"/>
      <c r="V47" s="8">
        <f>IF(S47="","",TODAY()-S47)</f>
        <v/>
      </c>
      <c r="W47" s="7" t="inlineStr"/>
      <c r="X47" s="7" t="inlineStr"/>
      <c r="Y47" s="7" t="inlineStr"/>
      <c r="Z47" s="7" t="inlineStr"/>
      <c r="AA47" s="7" t="inlineStr"/>
      <c r="AB47" s="7" t="inlineStr"/>
      <c r="AC47" s="7" t="inlineStr"/>
      <c r="AD47" s="7" t="inlineStr"/>
      <c r="AE47" s="7" t="inlineStr"/>
      <c r="AF47" s="7" t="inlineStr"/>
      <c r="AG47" s="7" t="inlineStr"/>
      <c r="AH47" s="7" t="inlineStr"/>
      <c r="AI47" s="7" t="inlineStr"/>
      <c r="AJ47" s="7" t="inlineStr"/>
      <c r="AK47" s="7" t="inlineStr"/>
    </row>
    <row r="48" ht="18" customHeight="1">
      <c r="A48" s="6" t="n">
        <v>45</v>
      </c>
      <c r="B48" s="7" t="inlineStr">
        <is>
          <t>Scotiabank</t>
        </is>
      </c>
      <c r="C48" s="7" t="inlineStr">
        <is>
          <t>Foreign Bank</t>
        </is>
      </c>
      <c r="D48" s="7" t="inlineStr">
        <is>
          <t>Investment Banking</t>
        </is>
      </c>
      <c r="E48" s="7" t="inlineStr">
        <is>
          <t>Senior Analyst, Investment Banking, Mergers &amp; Acquisitions (New York City, NY, US, 10281)</t>
        </is>
      </c>
      <c r="F48" s="6" t="inlineStr">
        <is>
          <t>Full-Time Analyst</t>
        </is>
      </c>
      <c r="G48" s="7" t="inlineStr"/>
      <c r="H48" s="7" t="inlineStr"/>
      <c r="I48" s="7" t="inlineStr"/>
      <c r="J48" s="7" t="inlineStr"/>
      <c r="K48" s="6" t="inlineStr">
        <is>
          <t>Open</t>
        </is>
      </c>
      <c r="L48" s="6" t="inlineStr">
        <is>
          <t>High</t>
        </is>
      </c>
      <c r="M48" s="7" t="inlineStr"/>
      <c r="N48" s="7" t="inlineStr">
        <is>
          <t>https://jobs.scotiabank.com/job/New-York-City-Senior-Analyst%2C-Investment-Banking%2C-Mergers-&amp;-Acquisitions-NY-10281/601812217/</t>
        </is>
      </c>
      <c r="O48" s="7" t="inlineStr"/>
      <c r="P48" s="7" t="inlineStr"/>
      <c r="Q48" s="6" t="inlineStr">
        <is>
          <t>09/01/2026</t>
        </is>
      </c>
      <c r="R48" s="6" t="inlineStr">
        <is>
          <t>09/01/2026</t>
        </is>
      </c>
      <c r="S48" s="7" t="inlineStr"/>
      <c r="T48" s="7" t="inlineStr"/>
      <c r="U48" s="7" t="inlineStr"/>
      <c r="V48" s="8">
        <f>IF(S48="","",TODAY()-S48)</f>
        <v/>
      </c>
      <c r="W48" s="7" t="inlineStr"/>
      <c r="X48" s="7" t="inlineStr"/>
      <c r="Y48" s="7" t="inlineStr"/>
      <c r="Z48" s="7" t="inlineStr"/>
      <c r="AA48" s="7" t="inlineStr"/>
      <c r="AB48" s="7" t="inlineStr"/>
      <c r="AC48" s="7" t="inlineStr"/>
      <c r="AD48" s="7" t="inlineStr"/>
      <c r="AE48" s="7" t="inlineStr"/>
      <c r="AF48" s="7" t="inlineStr"/>
      <c r="AG48" s="7" t="inlineStr"/>
      <c r="AH48" s="7" t="inlineStr"/>
      <c r="AI48" s="7" t="inlineStr"/>
      <c r="AJ48" s="7" t="inlineStr"/>
      <c r="AK48" s="7" t="inlineStr"/>
    </row>
    <row r="49" ht="18" customHeight="1">
      <c r="A49" s="6" t="n">
        <v>46</v>
      </c>
      <c r="B49" s="7" t="inlineStr">
        <is>
          <t>Solomon Partners</t>
        </is>
      </c>
      <c r="C49" s="7" t="inlineStr">
        <is>
          <t>Middle Market</t>
        </is>
      </c>
      <c r="D49" s="7" t="inlineStr">
        <is>
          <t>Investment Banking</t>
        </is>
      </c>
      <c r="E49" s="7" t="inlineStr">
        <is>
          <t xml:space="preserve"> Investment Banking - Senior Analyst (Technology)</t>
        </is>
      </c>
      <c r="F49" s="6" t="inlineStr">
        <is>
          <t>Full-Time Analyst</t>
        </is>
      </c>
      <c r="G49" s="7" t="inlineStr"/>
      <c r="H49" s="7" t="inlineStr">
        <is>
          <t>New York, New York, United States</t>
        </is>
      </c>
      <c r="I49" s="7" t="inlineStr"/>
      <c r="J49" s="7" t="inlineStr"/>
      <c r="K49" s="6" t="inlineStr">
        <is>
          <t>Open</t>
        </is>
      </c>
      <c r="L49" s="6" t="inlineStr">
        <is>
          <t>High</t>
        </is>
      </c>
      <c r="M49" s="7" t="inlineStr"/>
      <c r="N49" s="7" t="inlineStr">
        <is>
          <t>https://job-boards.greenhouse.io/solomonpartnersprofessionals/jobs/4659234006</t>
        </is>
      </c>
      <c r="O49" s="7" t="inlineStr"/>
      <c r="P49" s="7" t="inlineStr"/>
      <c r="Q49" s="6" t="inlineStr">
        <is>
          <t>09/01/2026</t>
        </is>
      </c>
      <c r="R49" s="6" t="inlineStr">
        <is>
          <t>09/01/2026</t>
        </is>
      </c>
      <c r="S49" s="7" t="inlineStr"/>
      <c r="T49" s="7" t="inlineStr"/>
      <c r="U49" s="7" t="inlineStr"/>
      <c r="V49" s="8">
        <f>IF(S49="","",TODAY()-S49)</f>
        <v/>
      </c>
      <c r="W49" s="7" t="inlineStr"/>
      <c r="X49" s="7" t="inlineStr"/>
      <c r="Y49" s="7" t="inlineStr"/>
      <c r="Z49" s="7" t="inlineStr"/>
      <c r="AA49" s="7" t="inlineStr"/>
      <c r="AB49" s="7" t="inlineStr"/>
      <c r="AC49" s="7" t="inlineStr"/>
      <c r="AD49" s="7" t="inlineStr"/>
      <c r="AE49" s="7" t="inlineStr"/>
      <c r="AF49" s="7" t="inlineStr"/>
      <c r="AG49" s="7" t="inlineStr"/>
      <c r="AH49" s="7" t="inlineStr"/>
      <c r="AI49" s="7" t="inlineStr"/>
      <c r="AJ49" s="7" t="inlineStr"/>
      <c r="AK49" s="7" t="inlineStr"/>
    </row>
    <row r="50" ht="18" customHeight="1">
      <c r="A50" s="6" t="n">
        <v>47</v>
      </c>
      <c r="B50" s="7" t="inlineStr">
        <is>
          <t>Citi</t>
        </is>
      </c>
      <c r="C50" s="7" t="inlineStr">
        <is>
          <t>Bulge Bracket</t>
        </is>
      </c>
      <c r="D50" s="7" t="inlineStr">
        <is>
          <t>Markets / Sales &amp; Trading</t>
        </is>
      </c>
      <c r="E50" s="7" t="inlineStr">
        <is>
          <t>Markets - Commodities, Full-Time Analyst, Houston - US, 2027</t>
        </is>
      </c>
      <c r="F50" s="6" t="inlineStr">
        <is>
          <t>Full-Time Analyst</t>
        </is>
      </c>
      <c r="G50" s="7" t="inlineStr"/>
      <c r="H50" s="7" t="inlineStr">
        <is>
          <t>Houston Texas United States</t>
        </is>
      </c>
      <c r="I50" s="7" t="inlineStr"/>
      <c r="J50" s="7" t="inlineStr"/>
      <c r="K50" s="6" t="inlineStr">
        <is>
          <t>Open</t>
        </is>
      </c>
      <c r="L50" s="6" t="inlineStr">
        <is>
          <t>High</t>
        </is>
      </c>
      <c r="M50" s="7" t="inlineStr"/>
      <c r="N50" s="7" t="inlineStr">
        <is>
          <t>https://citi.wd5.myworkdayjobs.com/en-US/2/job/Houston-Texas-United-States/Markets---Commodities--Full-Time-Analyst--Houston---US--2027_26978728</t>
        </is>
      </c>
      <c r="O50" s="7" t="inlineStr"/>
      <c r="P50" s="7" t="inlineStr"/>
      <c r="Q50" s="6" t="inlineStr">
        <is>
          <t>09/01/2026</t>
        </is>
      </c>
      <c r="R50" s="6" t="inlineStr">
        <is>
          <t>09/01/2026</t>
        </is>
      </c>
      <c r="S50" s="7" t="inlineStr"/>
      <c r="T50" s="7" t="inlineStr"/>
      <c r="U50" s="7" t="inlineStr"/>
      <c r="V50" s="8">
        <f>IF(S50="","",TODAY()-S50)</f>
        <v/>
      </c>
      <c r="W50" s="7" t="inlineStr"/>
      <c r="X50" s="7" t="inlineStr"/>
      <c r="Y50" s="7" t="inlineStr"/>
      <c r="Z50" s="7" t="inlineStr"/>
      <c r="AA50" s="7" t="inlineStr"/>
      <c r="AB50" s="7" t="inlineStr"/>
      <c r="AC50" s="7" t="inlineStr"/>
      <c r="AD50" s="7" t="inlineStr"/>
      <c r="AE50" s="7" t="inlineStr"/>
      <c r="AF50" s="7" t="inlineStr"/>
      <c r="AG50" s="7" t="inlineStr"/>
      <c r="AH50" s="7" t="inlineStr"/>
      <c r="AI50" s="7" t="inlineStr"/>
      <c r="AJ50" s="7" t="inlineStr"/>
      <c r="AK50" s="7" t="inlineStr"/>
    </row>
    <row r="51" ht="18" customHeight="1">
      <c r="A51" s="6" t="n">
        <v>48</v>
      </c>
      <c r="B51" s="7" t="inlineStr">
        <is>
          <t>J.P. Morgan</t>
        </is>
      </c>
      <c r="C51" s="7" t="inlineStr">
        <is>
          <t>Bulge Bracket</t>
        </is>
      </c>
      <c r="D51" s="7" t="inlineStr">
        <is>
          <t>Markets / Sales &amp; Trading</t>
        </is>
      </c>
      <c r="E51" s="7" t="inlineStr">
        <is>
          <t>2027 Commercial &amp; Investment Bank Markets Full-Time Analyst Program - Research</t>
        </is>
      </c>
      <c r="F51" s="6" t="inlineStr">
        <is>
          <t>Full-Time Analyst</t>
        </is>
      </c>
      <c r="G51" s="7" t="inlineStr"/>
      <c r="H51" s="7" t="inlineStr">
        <is>
          <t>New York, NY, United States</t>
        </is>
      </c>
      <c r="I51" s="7" t="inlineStr"/>
      <c r="J51" s="7" t="inlineStr"/>
      <c r="K51" s="6" t="inlineStr">
        <is>
          <t>Open</t>
        </is>
      </c>
      <c r="L51" s="6" t="inlineStr">
        <is>
          <t>High</t>
        </is>
      </c>
      <c r="M51" s="7" t="inlineStr"/>
      <c r="N51" s="7" t="inlineStr">
        <is>
          <t>https://jpmc.fa.oraclecloud.com/hcmUI/CandidateExperience/en/sites/CX_1/job/210763120</t>
        </is>
      </c>
      <c r="O51" s="7" t="inlineStr"/>
      <c r="P51" s="7" t="inlineStr"/>
      <c r="Q51" s="6" t="inlineStr">
        <is>
          <t>09/01/2026</t>
        </is>
      </c>
      <c r="R51" s="6" t="inlineStr">
        <is>
          <t>09/01/2026</t>
        </is>
      </c>
      <c r="S51" s="7" t="inlineStr"/>
      <c r="T51" s="7" t="inlineStr"/>
      <c r="U51" s="7" t="inlineStr"/>
      <c r="V51" s="8">
        <f>IF(S51="","",TODAY()-S51)</f>
        <v/>
      </c>
      <c r="W51" s="7" t="inlineStr"/>
      <c r="X51" s="7" t="inlineStr"/>
      <c r="Y51" s="7" t="inlineStr"/>
      <c r="Z51" s="7" t="inlineStr"/>
      <c r="AA51" s="7" t="inlineStr"/>
      <c r="AB51" s="7" t="inlineStr"/>
      <c r="AC51" s="7" t="inlineStr"/>
      <c r="AD51" s="7" t="inlineStr"/>
      <c r="AE51" s="7" t="inlineStr"/>
      <c r="AF51" s="7" t="inlineStr"/>
      <c r="AG51" s="7" t="inlineStr"/>
      <c r="AH51" s="7" t="inlineStr"/>
      <c r="AI51" s="7" t="inlineStr"/>
      <c r="AJ51" s="7" t="inlineStr"/>
      <c r="AK51" s="7" t="inlineStr"/>
    </row>
    <row r="52" ht="18" customHeight="1">
      <c r="A52" s="6" t="n">
        <v>49</v>
      </c>
      <c r="B52" s="7" t="inlineStr">
        <is>
          <t>J.P. Morgan</t>
        </is>
      </c>
      <c r="C52" s="7" t="inlineStr">
        <is>
          <t>Bulge Bracket</t>
        </is>
      </c>
      <c r="D52" s="7" t="inlineStr">
        <is>
          <t>Markets / Sales &amp; Trading</t>
        </is>
      </c>
      <c r="E52" s="7" t="inlineStr">
        <is>
          <t>Quantitative Trading &amp; Research - Equity Derivatives Exotics - Analyst</t>
        </is>
      </c>
      <c r="F52" s="6" t="inlineStr">
        <is>
          <t>Full-Time Analyst</t>
        </is>
      </c>
      <c r="G52" s="7" t="inlineStr"/>
      <c r="H52" s="7" t="inlineStr">
        <is>
          <t>New York, NY, United States</t>
        </is>
      </c>
      <c r="I52" s="7" t="inlineStr"/>
      <c r="J52" s="7" t="inlineStr"/>
      <c r="K52" s="6" t="inlineStr">
        <is>
          <t>Open</t>
        </is>
      </c>
      <c r="L52" s="6" t="inlineStr">
        <is>
          <t>High</t>
        </is>
      </c>
      <c r="M52" s="7" t="inlineStr"/>
      <c r="N52" s="7" t="inlineStr">
        <is>
          <t>https://jpmc.fa.oraclecloud.com/hcmUI/CandidateExperience/en/sites/CX_1/job/210770118</t>
        </is>
      </c>
      <c r="O52" s="7" t="inlineStr"/>
      <c r="P52" s="7" t="inlineStr"/>
      <c r="Q52" s="6" t="inlineStr">
        <is>
          <t>09/01/2026</t>
        </is>
      </c>
      <c r="R52" s="6" t="inlineStr">
        <is>
          <t>09/01/2026</t>
        </is>
      </c>
      <c r="S52" s="7" t="inlineStr"/>
      <c r="T52" s="7" t="inlineStr"/>
      <c r="U52" s="7" t="inlineStr"/>
      <c r="V52" s="8">
        <f>IF(S52="","",TODAY()-S52)</f>
        <v/>
      </c>
      <c r="W52" s="7" t="inlineStr"/>
      <c r="X52" s="7" t="inlineStr"/>
      <c r="Y52" s="7" t="inlineStr"/>
      <c r="Z52" s="7" t="inlineStr"/>
      <c r="AA52" s="7" t="inlineStr"/>
      <c r="AB52" s="7" t="inlineStr"/>
      <c r="AC52" s="7" t="inlineStr"/>
      <c r="AD52" s="7" t="inlineStr"/>
      <c r="AE52" s="7" t="inlineStr"/>
      <c r="AF52" s="7" t="inlineStr"/>
      <c r="AG52" s="7" t="inlineStr"/>
      <c r="AH52" s="7" t="inlineStr"/>
      <c r="AI52" s="7" t="inlineStr"/>
      <c r="AJ52" s="7" t="inlineStr"/>
      <c r="AK52" s="7" t="inlineStr"/>
    </row>
    <row r="53" ht="18" customHeight="1">
      <c r="A53" s="6" t="n">
        <v>50</v>
      </c>
      <c r="B53" s="7" t="inlineStr">
        <is>
          <t>Morgan Stanley</t>
        </is>
      </c>
      <c r="C53" s="7" t="inlineStr">
        <is>
          <t>Bulge Bracket</t>
        </is>
      </c>
      <c r="D53" s="7" t="inlineStr">
        <is>
          <t>Markets / Sales &amp; Trading</t>
        </is>
      </c>
      <c r="E53" s="7" t="inlineStr">
        <is>
          <t>Fixed Income Research – Securitized Products Strategist  Analyst</t>
        </is>
      </c>
      <c r="F53" s="6" t="inlineStr">
        <is>
          <t>Full-Time Analyst</t>
        </is>
      </c>
      <c r="G53" s="7" t="inlineStr"/>
      <c r="H53" s="7" t="inlineStr">
        <is>
          <t>New York, New York, United States of America</t>
        </is>
      </c>
      <c r="I53" s="7" t="inlineStr"/>
      <c r="J53" s="7" t="inlineStr"/>
      <c r="K53" s="6" t="inlineStr">
        <is>
          <t>Open</t>
        </is>
      </c>
      <c r="L53" s="6" t="inlineStr">
        <is>
          <t>High</t>
        </is>
      </c>
      <c r="M53" s="7" t="inlineStr"/>
      <c r="N53" s="7" t="inlineStr">
        <is>
          <t>https://ms.wd5.myworkdayjobs.com/en-US/External/job/New-York-New-York-United-States-of-America/Fixed-Income-Research---Securitized-Products-Strategist--Analyst_JR042147-1</t>
        </is>
      </c>
      <c r="O53" s="7" t="inlineStr"/>
      <c r="P53" s="7" t="inlineStr"/>
      <c r="Q53" s="6" t="inlineStr">
        <is>
          <t>09/01/2026</t>
        </is>
      </c>
      <c r="R53" s="6" t="inlineStr">
        <is>
          <t>09/01/2026</t>
        </is>
      </c>
      <c r="S53" s="7" t="inlineStr"/>
      <c r="T53" s="7" t="inlineStr"/>
      <c r="U53" s="7" t="inlineStr"/>
      <c r="V53" s="8">
        <f>IF(S53="","",TODAY()-S53)</f>
        <v/>
      </c>
      <c r="W53" s="7" t="inlineStr"/>
      <c r="X53" s="7" t="inlineStr"/>
      <c r="Y53" s="7" t="inlineStr"/>
      <c r="Z53" s="7" t="inlineStr"/>
      <c r="AA53" s="7" t="inlineStr"/>
      <c r="AB53" s="7" t="inlineStr"/>
      <c r="AC53" s="7" t="inlineStr"/>
      <c r="AD53" s="7" t="inlineStr"/>
      <c r="AE53" s="7" t="inlineStr"/>
      <c r="AF53" s="7" t="inlineStr"/>
      <c r="AG53" s="7" t="inlineStr"/>
      <c r="AH53" s="7" t="inlineStr"/>
      <c r="AI53" s="7" t="inlineStr"/>
      <c r="AJ53" s="7" t="inlineStr"/>
      <c r="AK53" s="7" t="inlineStr"/>
    </row>
    <row r="54" ht="18" customHeight="1">
      <c r="A54" s="6" t="n">
        <v>51</v>
      </c>
      <c r="B54" s="7" t="inlineStr">
        <is>
          <t>Citi</t>
        </is>
      </c>
      <c r="C54" s="7" t="inlineStr">
        <is>
          <t>Bulge Bracket</t>
        </is>
      </c>
      <c r="D54" s="7" t="inlineStr">
        <is>
          <t>Research</t>
        </is>
      </c>
      <c r="E54" s="7" t="inlineStr">
        <is>
          <t>Equity Research Analyst, Information Services</t>
        </is>
      </c>
      <c r="F54" s="6" t="inlineStr">
        <is>
          <t>Full-Time Analyst</t>
        </is>
      </c>
      <c r="G54" s="7" t="inlineStr"/>
      <c r="H54" s="7" t="inlineStr">
        <is>
          <t>New York New York United States</t>
        </is>
      </c>
      <c r="I54" s="7" t="inlineStr"/>
      <c r="J54" s="7" t="inlineStr"/>
      <c r="K54" s="6" t="inlineStr">
        <is>
          <t>Open</t>
        </is>
      </c>
      <c r="L54" s="6" t="inlineStr">
        <is>
          <t>High</t>
        </is>
      </c>
      <c r="M54" s="7" t="inlineStr"/>
      <c r="N54" s="7" t="inlineStr">
        <is>
          <t>https://citi.wd5.myworkdayjobs.com/en-US/2/job/New-York-New-York-United-States/Equity-Research-Analyst--Information-Services_26987685</t>
        </is>
      </c>
      <c r="O54" s="7" t="inlineStr"/>
      <c r="P54" s="7" t="inlineStr"/>
      <c r="Q54" s="6" t="inlineStr">
        <is>
          <t>09/01/2026</t>
        </is>
      </c>
      <c r="R54" s="6" t="inlineStr">
        <is>
          <t>09/01/2026</t>
        </is>
      </c>
      <c r="S54" s="7" t="inlineStr"/>
      <c r="T54" s="7" t="inlineStr"/>
      <c r="U54" s="7" t="inlineStr"/>
      <c r="V54" s="8">
        <f>IF(S54="","",TODAY()-S54)</f>
        <v/>
      </c>
      <c r="W54" s="7" t="inlineStr"/>
      <c r="X54" s="7" t="inlineStr"/>
      <c r="Y54" s="7" t="inlineStr"/>
      <c r="Z54" s="7" t="inlineStr"/>
      <c r="AA54" s="7" t="inlineStr"/>
      <c r="AB54" s="7" t="inlineStr"/>
      <c r="AC54" s="7" t="inlineStr"/>
      <c r="AD54" s="7" t="inlineStr"/>
      <c r="AE54" s="7" t="inlineStr"/>
      <c r="AF54" s="7" t="inlineStr"/>
      <c r="AG54" s="7" t="inlineStr"/>
      <c r="AH54" s="7" t="inlineStr"/>
      <c r="AI54" s="7" t="inlineStr"/>
      <c r="AJ54" s="7" t="inlineStr"/>
      <c r="AK54" s="7" t="inlineStr"/>
    </row>
    <row r="55" ht="18" customHeight="1">
      <c r="A55" s="6" t="n">
        <v>52</v>
      </c>
      <c r="B55" s="7" t="inlineStr">
        <is>
          <t>Citi</t>
        </is>
      </c>
      <c r="C55" s="7" t="inlineStr">
        <is>
          <t>Bulge Bracket</t>
        </is>
      </c>
      <c r="D55" s="7" t="inlineStr">
        <is>
          <t>Research</t>
        </is>
      </c>
      <c r="E55" s="7" t="inlineStr">
        <is>
          <t>Equity Research Analyst, SMID Biotech</t>
        </is>
      </c>
      <c r="F55" s="6" t="inlineStr">
        <is>
          <t>Full-Time Analyst</t>
        </is>
      </c>
      <c r="G55" s="7" t="inlineStr"/>
      <c r="H55" s="7" t="inlineStr">
        <is>
          <t>New York New York United States</t>
        </is>
      </c>
      <c r="I55" s="7" t="inlineStr"/>
      <c r="J55" s="7" t="inlineStr"/>
      <c r="K55" s="6" t="inlineStr">
        <is>
          <t>Open</t>
        </is>
      </c>
      <c r="L55" s="6" t="inlineStr">
        <is>
          <t>High</t>
        </is>
      </c>
      <c r="M55" s="7" t="inlineStr"/>
      <c r="N55" s="7" t="inlineStr">
        <is>
          <t>https://citi.wd5.myworkdayjobs.com/en-US/2/job/New-York-New-York-United-States/Equity-Research-Analyst--SMID-Biotech_26986970</t>
        </is>
      </c>
      <c r="O55" s="7" t="inlineStr"/>
      <c r="P55" s="7" t="inlineStr"/>
      <c r="Q55" s="6" t="inlineStr">
        <is>
          <t>09/01/2026</t>
        </is>
      </c>
      <c r="R55" s="6" t="inlineStr">
        <is>
          <t>09/01/2026</t>
        </is>
      </c>
      <c r="S55" s="7" t="inlineStr"/>
      <c r="T55" s="7" t="inlineStr"/>
      <c r="U55" s="7" t="inlineStr"/>
      <c r="V55" s="8">
        <f>IF(S55="","",TODAY()-S55)</f>
        <v/>
      </c>
      <c r="W55" s="7" t="inlineStr"/>
      <c r="X55" s="7" t="inlineStr"/>
      <c r="Y55" s="7" t="inlineStr"/>
      <c r="Z55" s="7" t="inlineStr"/>
      <c r="AA55" s="7" t="inlineStr"/>
      <c r="AB55" s="7" t="inlineStr"/>
      <c r="AC55" s="7" t="inlineStr"/>
      <c r="AD55" s="7" t="inlineStr"/>
      <c r="AE55" s="7" t="inlineStr"/>
      <c r="AF55" s="7" t="inlineStr"/>
      <c r="AG55" s="7" t="inlineStr"/>
      <c r="AH55" s="7" t="inlineStr"/>
      <c r="AI55" s="7" t="inlineStr"/>
      <c r="AJ55" s="7" t="inlineStr"/>
      <c r="AK55" s="7" t="inlineStr"/>
    </row>
    <row r="56" ht="18" customHeight="1">
      <c r="A56" s="6" t="n">
        <v>53</v>
      </c>
      <c r="B56" s="7" t="inlineStr">
        <is>
          <t>J.P. Morgan</t>
        </is>
      </c>
      <c r="C56" s="7" t="inlineStr">
        <is>
          <t>Bulge Bracket</t>
        </is>
      </c>
      <c r="D56" s="7" t="inlineStr">
        <is>
          <t>Research</t>
        </is>
      </c>
      <c r="E56" s="7" t="inlineStr">
        <is>
          <t>US Equity Research - Homebuilding &amp; Building Products - Analyst</t>
        </is>
      </c>
      <c r="F56" s="6" t="inlineStr">
        <is>
          <t>Full-Time Analyst</t>
        </is>
      </c>
      <c r="G56" s="7" t="inlineStr"/>
      <c r="H56" s="7" t="inlineStr">
        <is>
          <t>New York, NY, United States</t>
        </is>
      </c>
      <c r="I56" s="7" t="inlineStr"/>
      <c r="J56" s="7" t="inlineStr"/>
      <c r="K56" s="6" t="inlineStr">
        <is>
          <t>Open</t>
        </is>
      </c>
      <c r="L56" s="6" t="inlineStr">
        <is>
          <t>High</t>
        </is>
      </c>
      <c r="M56" s="7" t="inlineStr"/>
      <c r="N56" s="7" t="inlineStr">
        <is>
          <t>https://jpmc.fa.oraclecloud.com/hcmUI/CandidateExperience/en/sites/CX_1/job/210771944</t>
        </is>
      </c>
      <c r="O56" s="7" t="inlineStr"/>
      <c r="P56" s="7" t="inlineStr"/>
      <c r="Q56" s="6" t="inlineStr">
        <is>
          <t>09/01/2026</t>
        </is>
      </c>
      <c r="R56" s="6" t="inlineStr">
        <is>
          <t>09/01/2026</t>
        </is>
      </c>
      <c r="S56" s="7" t="inlineStr"/>
      <c r="T56" s="7" t="inlineStr"/>
      <c r="U56" s="7" t="inlineStr"/>
      <c r="V56" s="8">
        <f>IF(S56="","",TODAY()-S56)</f>
        <v/>
      </c>
      <c r="W56" s="7" t="inlineStr"/>
      <c r="X56" s="7" t="inlineStr"/>
      <c r="Y56" s="7" t="inlineStr"/>
      <c r="Z56" s="7" t="inlineStr"/>
      <c r="AA56" s="7" t="inlineStr"/>
      <c r="AB56" s="7" t="inlineStr"/>
      <c r="AC56" s="7" t="inlineStr"/>
      <c r="AD56" s="7" t="inlineStr"/>
      <c r="AE56" s="7" t="inlineStr"/>
      <c r="AF56" s="7" t="inlineStr"/>
      <c r="AG56" s="7" t="inlineStr"/>
      <c r="AH56" s="7" t="inlineStr"/>
      <c r="AI56" s="7" t="inlineStr"/>
      <c r="AJ56" s="7" t="inlineStr"/>
      <c r="AK56" s="7" t="inlineStr"/>
    </row>
    <row r="57" ht="18" customHeight="1">
      <c r="A57" s="6" t="n">
        <v>54</v>
      </c>
      <c r="B57" s="7" t="inlineStr">
        <is>
          <t>J.P. Morgan</t>
        </is>
      </c>
      <c r="C57" s="7" t="inlineStr">
        <is>
          <t>Bulge Bracket</t>
        </is>
      </c>
      <c r="D57" s="7" t="inlineStr">
        <is>
          <t>Research</t>
        </is>
      </c>
      <c r="E57" s="7" t="inlineStr">
        <is>
          <t>US Equity Research - Retailing - Hardlines/Broadlines - Analyst</t>
        </is>
      </c>
      <c r="F57" s="6" t="inlineStr">
        <is>
          <t>Full-Time Analyst</t>
        </is>
      </c>
      <c r="G57" s="7" t="inlineStr"/>
      <c r="H57" s="7" t="inlineStr">
        <is>
          <t>New York, NY, United States</t>
        </is>
      </c>
      <c r="I57" s="7" t="inlineStr"/>
      <c r="J57" s="7" t="inlineStr"/>
      <c r="K57" s="6" t="inlineStr">
        <is>
          <t>Open</t>
        </is>
      </c>
      <c r="L57" s="6" t="inlineStr">
        <is>
          <t>High</t>
        </is>
      </c>
      <c r="M57" s="7" t="inlineStr"/>
      <c r="N57" s="7" t="inlineStr">
        <is>
          <t>https://jpmc.fa.oraclecloud.com/hcmUI/CandidateExperience/en/sites/CX_1/job/210745261</t>
        </is>
      </c>
      <c r="O57" s="7" t="inlineStr"/>
      <c r="P57" s="7" t="inlineStr"/>
      <c r="Q57" s="6" t="inlineStr">
        <is>
          <t>09/01/2026</t>
        </is>
      </c>
      <c r="R57" s="6" t="inlineStr">
        <is>
          <t>09/01/2026</t>
        </is>
      </c>
      <c r="S57" s="7" t="inlineStr"/>
      <c r="T57" s="7" t="inlineStr"/>
      <c r="U57" s="7" t="inlineStr"/>
      <c r="V57" s="8">
        <f>IF(S57="","",TODAY()-S57)</f>
        <v/>
      </c>
      <c r="W57" s="7" t="inlineStr"/>
      <c r="X57" s="7" t="inlineStr"/>
      <c r="Y57" s="7" t="inlineStr"/>
      <c r="Z57" s="7" t="inlineStr"/>
      <c r="AA57" s="7" t="inlineStr"/>
      <c r="AB57" s="7" t="inlineStr"/>
      <c r="AC57" s="7" t="inlineStr"/>
      <c r="AD57" s="7" t="inlineStr"/>
      <c r="AE57" s="7" t="inlineStr"/>
      <c r="AF57" s="7" t="inlineStr"/>
      <c r="AG57" s="7" t="inlineStr"/>
      <c r="AH57" s="7" t="inlineStr"/>
      <c r="AI57" s="7" t="inlineStr"/>
      <c r="AJ57" s="7" t="inlineStr"/>
      <c r="AK57" s="7" t="inlineStr"/>
    </row>
    <row r="58" ht="18" customHeight="1">
      <c r="A58" s="6" t="n">
        <v>55</v>
      </c>
      <c r="B58" s="7" t="inlineStr">
        <is>
          <t>Lazard</t>
        </is>
      </c>
      <c r="C58" s="7" t="inlineStr">
        <is>
          <t>Elite Boutique</t>
        </is>
      </c>
      <c r="D58" s="7" t="inlineStr">
        <is>
          <t>Research</t>
        </is>
      </c>
      <c r="E58" s="7" t="inlineStr">
        <is>
          <t>Equity Research Analyst - US Healthcare</t>
        </is>
      </c>
      <c r="F58" s="6" t="inlineStr">
        <is>
          <t>Full-Time Analyst</t>
        </is>
      </c>
      <c r="G58" s="7" t="inlineStr"/>
      <c r="H58" s="7" t="inlineStr">
        <is>
          <t>New York, United States</t>
        </is>
      </c>
      <c r="I58" s="7" t="inlineStr"/>
      <c r="J58" s="7" t="inlineStr"/>
      <c r="K58" s="6" t="inlineStr">
        <is>
          <t>Open</t>
        </is>
      </c>
      <c r="L58" s="6" t="inlineStr">
        <is>
          <t>High</t>
        </is>
      </c>
      <c r="M58" s="7" t="inlineStr"/>
      <c r="N58" s="7" t="inlineStr">
        <is>
          <t>https://icbpjb.fa.ocs.oraclecloud.com/hcmUI/CandidateExperience/en/sites/CX_1/job/6406</t>
        </is>
      </c>
      <c r="O58" s="7" t="inlineStr"/>
      <c r="P58" s="7" t="inlineStr"/>
      <c r="Q58" s="6" t="inlineStr">
        <is>
          <t>09/01/2026</t>
        </is>
      </c>
      <c r="R58" s="6" t="inlineStr">
        <is>
          <t>09/01/2026</t>
        </is>
      </c>
      <c r="S58" s="7" t="inlineStr"/>
      <c r="T58" s="7" t="inlineStr"/>
      <c r="U58" s="7" t="inlineStr"/>
      <c r="V58" s="8">
        <f>IF(S58="","",TODAY()-S58)</f>
        <v/>
      </c>
      <c r="W58" s="7" t="inlineStr"/>
      <c r="X58" s="7" t="inlineStr"/>
      <c r="Y58" s="7" t="inlineStr"/>
      <c r="Z58" s="7" t="inlineStr"/>
      <c r="AA58" s="7" t="inlineStr"/>
      <c r="AB58" s="7" t="inlineStr"/>
      <c r="AC58" s="7" t="inlineStr"/>
      <c r="AD58" s="7" t="inlineStr"/>
      <c r="AE58" s="7" t="inlineStr"/>
      <c r="AF58" s="7" t="inlineStr"/>
      <c r="AG58" s="7" t="inlineStr"/>
      <c r="AH58" s="7" t="inlineStr"/>
      <c r="AI58" s="7" t="inlineStr"/>
      <c r="AJ58" s="7" t="inlineStr"/>
      <c r="AK58" s="7" t="inlineStr"/>
    </row>
    <row r="59" ht="18" customHeight="1">
      <c r="A59" s="6" t="n">
        <v>56</v>
      </c>
      <c r="B59" s="7" t="inlineStr">
        <is>
          <t>Lincoln International</t>
        </is>
      </c>
      <c r="C59" s="7" t="inlineStr">
        <is>
          <t>Middle Market</t>
        </is>
      </c>
      <c r="D59" s="7" t="inlineStr">
        <is>
          <t>FT Analyst Program (verify division)</t>
        </is>
      </c>
      <c r="E59" s="7" t="inlineStr">
        <is>
          <t xml:space="preserve">2027 Full-Time Analyst, Valuations &amp; Opinions Group </t>
        </is>
      </c>
      <c r="F59" s="6" t="inlineStr">
        <is>
          <t>Full-Time Analyst</t>
        </is>
      </c>
      <c r="G59" s="7" t="inlineStr"/>
      <c r="H59" s="7" t="inlineStr">
        <is>
          <t>Atlanta, GA; Dallas, TX; New York City, NY; San Francisco, CA</t>
        </is>
      </c>
      <c r="I59" s="7" t="inlineStr"/>
      <c r="J59" s="7" t="inlineStr"/>
      <c r="K59" s="6" t="inlineStr">
        <is>
          <t>Open</t>
        </is>
      </c>
      <c r="L59" s="6" t="inlineStr">
        <is>
          <t>High</t>
        </is>
      </c>
      <c r="M59" s="7" t="inlineStr"/>
      <c r="N59" s="7" t="inlineStr">
        <is>
          <t>http://www.lincolninternational.com/greenhouse/?gh_jid=8060090</t>
        </is>
      </c>
      <c r="O59" s="7" t="inlineStr"/>
      <c r="P59" s="7" t="inlineStr"/>
      <c r="Q59" s="6" t="inlineStr">
        <is>
          <t>09/01/2026</t>
        </is>
      </c>
      <c r="R59" s="6" t="inlineStr">
        <is>
          <t>09/01/2026</t>
        </is>
      </c>
      <c r="S59" s="7" t="inlineStr"/>
      <c r="T59" s="7" t="inlineStr"/>
      <c r="U59" s="7" t="inlineStr"/>
      <c r="V59" s="8">
        <f>IF(S59="","",TODAY()-S59)</f>
        <v/>
      </c>
      <c r="W59" s="7" t="inlineStr"/>
      <c r="X59" s="7" t="inlineStr"/>
      <c r="Y59" s="7" t="inlineStr"/>
      <c r="Z59" s="7" t="inlineStr"/>
      <c r="AA59" s="7" t="inlineStr"/>
      <c r="AB59" s="7" t="inlineStr"/>
      <c r="AC59" s="7" t="inlineStr"/>
      <c r="AD59" s="7" t="inlineStr"/>
      <c r="AE59" s="7" t="inlineStr"/>
      <c r="AF59" s="7" t="inlineStr"/>
      <c r="AG59" s="7" t="inlineStr"/>
      <c r="AH59" s="7" t="inlineStr"/>
      <c r="AI59" s="7" t="inlineStr"/>
      <c r="AJ59" s="7" t="inlineStr"/>
      <c r="AK59" s="7" t="inlineStr"/>
    </row>
  </sheetData>
  <mergeCells count="2">
    <mergeCell ref="A1:AK1"/>
    <mergeCell ref="A2:AK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2" customHeight="1">
      <c r="A1" s="1" t="inlineStr">
        <is>
          <t>Bank Coverage Universe</t>
        </is>
      </c>
    </row>
    <row r="2" ht="16" customHeight="1">
      <c r="A2" s="2" t="inlineStr">
        <is>
          <t>Refreshed on every `ib-tracker update` run.</t>
        </is>
      </c>
    </row>
    <row r="3">
      <c r="A3" s="3" t="inlineStr">
        <is>
          <t>#</t>
        </is>
      </c>
      <c r="B3" s="3" t="inlineStr">
        <is>
          <t>Bank Name</t>
        </is>
      </c>
      <c r="C3" s="3" t="inlineStr">
        <is>
          <t>Category</t>
        </is>
      </c>
      <c r="D3" s="3" t="inlineStr">
        <is>
          <t>ATS Platform</t>
        </is>
      </c>
      <c r="E3" s="3" t="inlineStr">
        <is>
          <t>Careers URL</t>
        </is>
      </c>
      <c r="F3" s="3" t="inlineStr">
        <is>
          <t>Priority</t>
        </is>
      </c>
      <c r="G3" s="3" t="inlineStr">
        <is>
          <t>Class Year Focus</t>
        </is>
      </c>
      <c r="H3" s="3" t="inlineStr">
        <is>
          <t>Manual-Check Note</t>
        </is>
      </c>
      <c r="I3" s="3" t="inlineStr">
        <is>
          <t>Notes</t>
        </is>
      </c>
      <c r="J3" s="3" t="inlineStr">
        <is>
          <t>Last Checked Date</t>
        </is>
      </c>
      <c r="K3" s="3" t="inlineStr">
        <is>
          <t>Current Status</t>
        </is>
      </c>
    </row>
    <row r="4">
      <c r="A4" s="4" t="n">
        <v>1</v>
      </c>
      <c r="B4" s="4" t="inlineStr">
        <is>
          <t>Morgan Stanley</t>
        </is>
      </c>
      <c r="C4" s="4" t="inlineStr">
        <is>
          <t>Bulge Bracket</t>
        </is>
      </c>
      <c r="D4" s="4" t="inlineStr">
        <is>
          <t>Workday</t>
        </is>
      </c>
      <c r="E4" s="4" t="inlineStr">
        <is>
          <t>https://www.morganstanley.com/people-opportunities/students-graduates</t>
        </is>
      </c>
      <c r="F4" s="4" t="inlineStr">
        <is>
          <t>High</t>
        </is>
      </c>
      <c r="G4" s="4" t="inlineStr">
        <is>
          <t>2027</t>
        </is>
      </c>
      <c r="H4" s="4" t="inlineStr"/>
      <c r="I4" s="4" t="inlineStr"/>
      <c r="J4" s="9" t="inlineStr">
        <is>
          <t>09/01/2026</t>
        </is>
      </c>
      <c r="K4" s="4" t="inlineStr">
        <is>
          <t>Checked - Opening Found</t>
        </is>
      </c>
    </row>
    <row r="5">
      <c r="A5" s="5" t="n">
        <v>2</v>
      </c>
      <c r="B5" s="5" t="inlineStr">
        <is>
          <t>J.P. Morgan</t>
        </is>
      </c>
      <c r="C5" s="5" t="inlineStr">
        <is>
          <t>Bulge Bracket</t>
        </is>
      </c>
      <c r="D5" s="5" t="inlineStr">
        <is>
          <t>Oracle Cloud HCM</t>
        </is>
      </c>
      <c r="E5" s="5" t="inlineStr">
        <is>
          <t>https://careers.jpmorgan.com/us/en/students/programs/investment-banking-analyst</t>
        </is>
      </c>
      <c r="F5" s="5" t="inlineStr">
        <is>
          <t>High</t>
        </is>
      </c>
      <c r="G5" s="5" t="inlineStr">
        <is>
          <t>2027</t>
        </is>
      </c>
      <c r="H5" s="5" t="inlineStr"/>
      <c r="I5" s="5" t="inlineStr"/>
      <c r="J5" s="10" t="inlineStr">
        <is>
          <t>09/01/2026</t>
        </is>
      </c>
      <c r="K5" s="5" t="inlineStr">
        <is>
          <t>Checked - Opening Found</t>
        </is>
      </c>
    </row>
    <row r="6">
      <c r="A6" s="4" t="n">
        <v>3</v>
      </c>
      <c r="B6" s="4" t="inlineStr">
        <is>
          <t>Bank of America</t>
        </is>
      </c>
      <c r="C6" s="4" t="inlineStr">
        <is>
          <t>Bulge Bracket</t>
        </is>
      </c>
      <c r="D6" s="4" t="inlineStr">
        <is>
          <t>Workday</t>
        </is>
      </c>
      <c r="E6" s="4" t="inlineStr">
        <is>
          <t>https://campus.bankofamerica.com</t>
        </is>
      </c>
      <c r="F6" s="4" t="inlineStr">
        <is>
          <t>High</t>
        </is>
      </c>
      <c r="G6" s="4" t="inlineStr">
        <is>
          <t>2027</t>
        </is>
      </c>
      <c r="H6" s="4" t="inlineStr"/>
      <c r="I6" s="4" t="inlineStr"/>
      <c r="J6" s="9" t="inlineStr">
        <is>
          <t>09/01/2026</t>
        </is>
      </c>
      <c r="K6" s="4" t="inlineStr">
        <is>
          <t>Checked - No Opening</t>
        </is>
      </c>
    </row>
    <row r="7">
      <c r="A7" s="5" t="n">
        <v>4</v>
      </c>
      <c r="B7" s="5" t="inlineStr">
        <is>
          <t>Citi</t>
        </is>
      </c>
      <c r="C7" s="5" t="inlineStr">
        <is>
          <t>Bulge Bracket</t>
        </is>
      </c>
      <c r="D7" s="5" t="inlineStr">
        <is>
          <t>Workday</t>
        </is>
      </c>
      <c r="E7" s="5" t="inlineStr">
        <is>
          <t>https://jobs.citi.com/category/banking-full-time-analyst</t>
        </is>
      </c>
      <c r="F7" s="5" t="inlineStr">
        <is>
          <t>High</t>
        </is>
      </c>
      <c r="G7" s="5" t="inlineStr">
        <is>
          <t>2027</t>
        </is>
      </c>
      <c r="H7" s="5" t="inlineStr"/>
      <c r="I7" s="5" t="inlineStr"/>
      <c r="J7" s="10" t="inlineStr">
        <is>
          <t>09/01/2026</t>
        </is>
      </c>
      <c r="K7" s="5" t="inlineStr">
        <is>
          <t>Checked - Opening Found</t>
        </is>
      </c>
    </row>
    <row r="8">
      <c r="A8" s="4" t="n">
        <v>5</v>
      </c>
      <c r="B8" s="4" t="inlineStr">
        <is>
          <t>Barclays</t>
        </is>
      </c>
      <c r="C8" s="4" t="inlineStr">
        <is>
          <t>Bulge Bracket</t>
        </is>
      </c>
      <c r="D8" s="4" t="inlineStr">
        <is>
          <t>Workday</t>
        </is>
      </c>
      <c r="E8" s="4" t="inlineStr">
        <is>
          <t>https://search.jobs.barclays/category/investment-banking</t>
        </is>
      </c>
      <c r="F8" s="4" t="inlineStr">
        <is>
          <t>High</t>
        </is>
      </c>
      <c r="G8" s="4" t="inlineStr">
        <is>
          <t>2027</t>
        </is>
      </c>
      <c r="H8" s="4" t="inlineStr"/>
      <c r="I8" s="4" t="inlineStr"/>
      <c r="J8" s="9" t="inlineStr">
        <is>
          <t>09/01/2026</t>
        </is>
      </c>
      <c r="K8" s="4" t="inlineStr">
        <is>
          <t>Checked - No Opening</t>
        </is>
      </c>
    </row>
    <row r="9">
      <c r="A9" s="5" t="n">
        <v>6</v>
      </c>
      <c r="B9" s="5" t="inlineStr">
        <is>
          <t>Deutsche Bank</t>
        </is>
      </c>
      <c r="C9" s="5" t="inlineStr">
        <is>
          <t>Bulge Bracket</t>
        </is>
      </c>
      <c r="D9" s="5" t="inlineStr">
        <is>
          <t>Workday</t>
        </is>
      </c>
      <c r="E9" s="5" t="inlineStr">
        <is>
          <t>https://www.db.com/careers/en/grad/role-search/investment-banking.html</t>
        </is>
      </c>
      <c r="F9" s="5" t="inlineStr">
        <is>
          <t>High</t>
        </is>
      </c>
      <c r="G9" s="5" t="inlineStr">
        <is>
          <t>2027</t>
        </is>
      </c>
      <c r="H9" s="5" t="inlineStr"/>
      <c r="I9" s="5" t="inlineStr"/>
      <c r="J9" s="10" t="inlineStr">
        <is>
          <t>09/01/2026</t>
        </is>
      </c>
      <c r="K9" s="5" t="inlineStr">
        <is>
          <t>Checked - No Opening</t>
        </is>
      </c>
    </row>
    <row r="10">
      <c r="A10" s="4" t="n">
        <v>7</v>
      </c>
      <c r="B10" s="4" t="inlineStr">
        <is>
          <t>Wells Fargo</t>
        </is>
      </c>
      <c r="C10" s="4" t="inlineStr">
        <is>
          <t>Bulge Bracket</t>
        </is>
      </c>
      <c r="D10" s="4" t="inlineStr">
        <is>
          <t>Workday</t>
        </is>
      </c>
      <c r="E10" s="4" t="inlineStr">
        <is>
          <t>https://www.wellsfargo.com/about/careers/college</t>
        </is>
      </c>
      <c r="F10" s="4" t="inlineStr">
        <is>
          <t>High</t>
        </is>
      </c>
      <c r="G10" s="4" t="inlineStr">
        <is>
          <t>2027</t>
        </is>
      </c>
      <c r="H10" s="4" t="inlineStr"/>
      <c r="I10" s="4" t="inlineStr"/>
      <c r="J10" s="9" t="inlineStr">
        <is>
          <t>09/01/2026</t>
        </is>
      </c>
      <c r="K10" s="4" t="inlineStr">
        <is>
          <t>Checked - No Opening</t>
        </is>
      </c>
    </row>
    <row r="11">
      <c r="A11" s="5" t="n">
        <v>8</v>
      </c>
      <c r="B11" s="5" t="inlineStr">
        <is>
          <t>RBC Capital Markets</t>
        </is>
      </c>
      <c r="C11" s="5" t="inlineStr">
        <is>
          <t>Bulge Bracket</t>
        </is>
      </c>
      <c r="D11" s="5" t="inlineStr">
        <is>
          <t>Workday</t>
        </is>
      </c>
      <c r="E11" s="5" t="inlineStr">
        <is>
          <t>https://jobs.rbc.com/us/en/students</t>
        </is>
      </c>
      <c r="F11" s="5" t="inlineStr">
        <is>
          <t>High</t>
        </is>
      </c>
      <c r="G11" s="5" t="inlineStr">
        <is>
          <t>2027</t>
        </is>
      </c>
      <c r="H11" s="5" t="inlineStr"/>
      <c r="I11" s="5" t="inlineStr"/>
      <c r="J11" s="10" t="inlineStr">
        <is>
          <t>09/01/2026</t>
        </is>
      </c>
      <c r="K11" s="5" t="inlineStr">
        <is>
          <t>Checked - No Opening</t>
        </is>
      </c>
    </row>
    <row r="12">
      <c r="A12" s="4" t="n">
        <v>9</v>
      </c>
      <c r="B12" s="4" t="inlineStr">
        <is>
          <t>Jefferies</t>
        </is>
      </c>
      <c r="C12" s="4" t="inlineStr">
        <is>
          <t>Bulge Bracket</t>
        </is>
      </c>
      <c r="D12" s="4" t="inlineStr">
        <is>
          <t>Oracle Cloud HCM</t>
        </is>
      </c>
      <c r="E12" s="4" t="inlineStr">
        <is>
          <t>https://www.jefferies.com/careers/campus-recruiting</t>
        </is>
      </c>
      <c r="F12" s="4" t="inlineStr">
        <is>
          <t>High</t>
        </is>
      </c>
      <c r="G12" s="4" t="inlineStr">
        <is>
          <t>2027</t>
        </is>
      </c>
      <c r="H12" s="4" t="inlineStr"/>
      <c r="I12" s="4" t="inlineStr"/>
      <c r="J12" s="9" t="inlineStr">
        <is>
          <t>09/01/2026</t>
        </is>
      </c>
      <c r="K12" s="4" t="inlineStr">
        <is>
          <t>Checked - Opening Found</t>
        </is>
      </c>
    </row>
    <row r="13">
      <c r="A13" s="5" t="n">
        <v>10</v>
      </c>
      <c r="B13" s="5" t="inlineStr">
        <is>
          <t>PJT Partners</t>
        </is>
      </c>
      <c r="C13" s="5" t="inlineStr">
        <is>
          <t>Elite Boutique</t>
        </is>
      </c>
      <c r="D13" s="5" t="inlineStr">
        <is>
          <t>Workday</t>
        </is>
      </c>
      <c r="E13" s="5" t="inlineStr">
        <is>
          <t>https://pjtpartners.wd1.myworkdayjobs.com/PJT</t>
        </is>
      </c>
      <c r="F13" s="5" t="inlineStr">
        <is>
          <t>High</t>
        </is>
      </c>
      <c r="G13" s="5" t="inlineStr">
        <is>
          <t>2027</t>
        </is>
      </c>
      <c r="H13" s="5" t="inlineStr"/>
      <c r="I13" s="5" t="inlineStr"/>
      <c r="J13" s="10" t="inlineStr">
        <is>
          <t>09/01/2026</t>
        </is>
      </c>
      <c r="K13" s="5" t="inlineStr">
        <is>
          <t>Checked - No Opening</t>
        </is>
      </c>
    </row>
    <row r="14">
      <c r="A14" s="4" t="n">
        <v>11</v>
      </c>
      <c r="B14" s="4" t="inlineStr">
        <is>
          <t>Moelis &amp; Company</t>
        </is>
      </c>
      <c r="C14" s="4" t="inlineStr">
        <is>
          <t>Elite Boutique</t>
        </is>
      </c>
      <c r="D14" s="4" t="inlineStr">
        <is>
          <t>Workday</t>
        </is>
      </c>
      <c r="E14" s="4" t="inlineStr">
        <is>
          <t>https://moelis.wd1.myworkdayjobs.com/Experienced-Hires</t>
        </is>
      </c>
      <c r="F14" s="4" t="inlineStr">
        <is>
          <t>High</t>
        </is>
      </c>
      <c r="G14" s="4" t="inlineStr">
        <is>
          <t>2027</t>
        </is>
      </c>
      <c r="H14" s="4" t="inlineStr"/>
      <c r="I14" s="4" t="inlineStr"/>
      <c r="J14" s="9" t="inlineStr">
        <is>
          <t>09/01/2026</t>
        </is>
      </c>
      <c r="K14" s="4" t="inlineStr">
        <is>
          <t>Checked - No Opening</t>
        </is>
      </c>
    </row>
    <row r="15">
      <c r="A15" s="5" t="n">
        <v>12</v>
      </c>
      <c r="B15" s="5" t="inlineStr">
        <is>
          <t>Guggenheim Securities</t>
        </is>
      </c>
      <c r="C15" s="5" t="inlineStr">
        <is>
          <t>Elite Boutique</t>
        </is>
      </c>
      <c r="D15" s="5" t="inlineStr">
        <is>
          <t>Workday</t>
        </is>
      </c>
      <c r="E15" s="5" t="inlineStr">
        <is>
          <t>https://guggenheim.wd1.myworkdayjobs.com/Guggenheim_Careers_Campus</t>
        </is>
      </c>
      <c r="F15" s="5" t="inlineStr">
        <is>
          <t>High</t>
        </is>
      </c>
      <c r="G15" s="5" t="inlineStr">
        <is>
          <t>2027</t>
        </is>
      </c>
      <c r="H15" s="5" t="inlineStr"/>
      <c r="I15" s="5" t="inlineStr"/>
      <c r="J15" s="10" t="inlineStr">
        <is>
          <t>09/01/2026</t>
        </is>
      </c>
      <c r="K15" s="5" t="inlineStr">
        <is>
          <t>Checked - Opening Found</t>
        </is>
      </c>
    </row>
    <row r="16">
      <c r="A16" s="4" t="n">
        <v>13</v>
      </c>
      <c r="B16" s="4" t="inlineStr">
        <is>
          <t>Perella Weinberg Partners</t>
        </is>
      </c>
      <c r="C16" s="4" t="inlineStr">
        <is>
          <t>Elite Boutique</t>
        </is>
      </c>
      <c r="D16" s="4" t="inlineStr">
        <is>
          <t>Workday</t>
        </is>
      </c>
      <c r="E16" s="4" t="inlineStr">
        <is>
          <t>https://pwp.wd1.myworkdayjobs.com/PWP_Experienced_Opportunities</t>
        </is>
      </c>
      <c r="F16" s="4" t="inlineStr">
        <is>
          <t>High</t>
        </is>
      </c>
      <c r="G16" s="4" t="inlineStr">
        <is>
          <t>2027</t>
        </is>
      </c>
      <c r="H16" s="4" t="inlineStr"/>
      <c r="I16" s="4" t="inlineStr"/>
      <c r="J16" s="9" t="inlineStr">
        <is>
          <t>09/01/2026</t>
        </is>
      </c>
      <c r="K16" s="4" t="inlineStr">
        <is>
          <t>Checked - No Opening</t>
        </is>
      </c>
    </row>
    <row r="17">
      <c r="A17" s="5" t="n">
        <v>14</v>
      </c>
      <c r="B17" s="5" t="inlineStr">
        <is>
          <t>Rothschild &amp; Co</t>
        </is>
      </c>
      <c r="C17" s="5" t="inlineStr">
        <is>
          <t>Elite Boutique</t>
        </is>
      </c>
      <c r="D17" s="5" t="inlineStr">
        <is>
          <t>Workday</t>
        </is>
      </c>
      <c r="E17" s="5" t="inlineStr">
        <is>
          <t>https://www.rothschildandco.com/en/careers/graduate</t>
        </is>
      </c>
      <c r="F17" s="5" t="inlineStr">
        <is>
          <t>High</t>
        </is>
      </c>
      <c r="G17" s="5" t="inlineStr">
        <is>
          <t>2027</t>
        </is>
      </c>
      <c r="H17" s="5" t="inlineStr"/>
      <c r="I17" s="5" t="inlineStr"/>
      <c r="J17" s="10" t="inlineStr">
        <is>
          <t>09/01/2026</t>
        </is>
      </c>
      <c r="K17" s="5" t="inlineStr">
        <is>
          <t>Checked - No Opening</t>
        </is>
      </c>
    </row>
    <row r="18">
      <c r="A18" s="4" t="n">
        <v>15</v>
      </c>
      <c r="B18" s="4" t="inlineStr">
        <is>
          <t>Lazard</t>
        </is>
      </c>
      <c r="C18" s="4" t="inlineStr">
        <is>
          <t>Elite Boutique</t>
        </is>
      </c>
      <c r="D18" s="4" t="inlineStr">
        <is>
          <t>Oracle Cloud HCM</t>
        </is>
      </c>
      <c r="E18" s="4" t="inlineStr">
        <is>
          <t>https://lazard.wd1.myworkdayjobs.com/lazard</t>
        </is>
      </c>
      <c r="F18" s="4" t="inlineStr">
        <is>
          <t>High</t>
        </is>
      </c>
      <c r="G18" s="4" t="inlineStr">
        <is>
          <t>2027</t>
        </is>
      </c>
      <c r="H18" s="4" t="inlineStr"/>
      <c r="I18" s="4" t="inlineStr"/>
      <c r="J18" s="9" t="inlineStr">
        <is>
          <t>09/01/2026</t>
        </is>
      </c>
      <c r="K18" s="4" t="inlineStr">
        <is>
          <t>Checked - Opening Found</t>
        </is>
      </c>
    </row>
    <row r="19">
      <c r="A19" s="5" t="n">
        <v>16</v>
      </c>
      <c r="B19" s="5" t="inlineStr">
        <is>
          <t>Houlihan Lokey</t>
        </is>
      </c>
      <c r="C19" s="5" t="inlineStr">
        <is>
          <t>Middle Market</t>
        </is>
      </c>
      <c r="D19" s="5" t="inlineStr">
        <is>
          <t>Workday</t>
        </is>
      </c>
      <c r="E19" s="5" t="inlineStr">
        <is>
          <t>https://hl.wd1.myworkdayjobs.com/Lateral</t>
        </is>
      </c>
      <c r="F19" s="5" t="inlineStr">
        <is>
          <t>High</t>
        </is>
      </c>
      <c r="G19" s="5" t="inlineStr">
        <is>
          <t>2027</t>
        </is>
      </c>
      <c r="H19" s="5" t="inlineStr"/>
      <c r="I19" s="5" t="inlineStr"/>
      <c r="J19" s="10" t="inlineStr">
        <is>
          <t>09/01/2026</t>
        </is>
      </c>
      <c r="K19" s="5" t="inlineStr">
        <is>
          <t>Checked - Opening Found</t>
        </is>
      </c>
    </row>
    <row r="20">
      <c r="A20" s="4" t="n">
        <v>17</v>
      </c>
      <c r="B20" s="4" t="inlineStr">
        <is>
          <t>Piper Sandler</t>
        </is>
      </c>
      <c r="C20" s="4" t="inlineStr">
        <is>
          <t>Middle Market</t>
        </is>
      </c>
      <c r="D20" s="4" t="inlineStr">
        <is>
          <t>Workday</t>
        </is>
      </c>
      <c r="E20" s="4" t="inlineStr">
        <is>
          <t>https://pipersandler.wd501.myworkdayjobs.com/Piper_Sandler_Careers</t>
        </is>
      </c>
      <c r="F20" s="4" t="inlineStr">
        <is>
          <t>High</t>
        </is>
      </c>
      <c r="G20" s="4" t="inlineStr">
        <is>
          <t>2027</t>
        </is>
      </c>
      <c r="H20" s="4" t="inlineStr"/>
      <c r="I20" s="4" t="inlineStr"/>
      <c r="J20" s="9" t="inlineStr">
        <is>
          <t>09/01/2026</t>
        </is>
      </c>
      <c r="K20" s="4" t="inlineStr">
        <is>
          <t>Checked - Opening Found</t>
        </is>
      </c>
    </row>
    <row r="21">
      <c r="A21" s="5" t="n">
        <v>18</v>
      </c>
      <c r="B21" s="5" t="inlineStr">
        <is>
          <t>TD Cowen</t>
        </is>
      </c>
      <c r="C21" s="5" t="inlineStr">
        <is>
          <t>Middle Market</t>
        </is>
      </c>
      <c r="D21" s="5" t="inlineStr">
        <is>
          <t>Workday</t>
        </is>
      </c>
      <c r="E21" s="5" t="inlineStr">
        <is>
          <t>https://td.wd3.myworkdayjobs.com/TD_Bank_Careers</t>
        </is>
      </c>
      <c r="F21" s="5" t="inlineStr">
        <is>
          <t>High</t>
        </is>
      </c>
      <c r="G21" s="5" t="inlineStr">
        <is>
          <t>2027</t>
        </is>
      </c>
      <c r="H21" s="5" t="inlineStr"/>
      <c r="I21" s="5" t="inlineStr"/>
      <c r="J21" s="10" t="inlineStr">
        <is>
          <t>09/01/2026</t>
        </is>
      </c>
      <c r="K21" s="5" t="inlineStr">
        <is>
          <t>Checked - No Opening</t>
        </is>
      </c>
    </row>
    <row r="22">
      <c r="A22" s="4" t="n">
        <v>19</v>
      </c>
      <c r="B22" s="4" t="inlineStr">
        <is>
          <t>Lincoln International</t>
        </is>
      </c>
      <c r="C22" s="4" t="inlineStr">
        <is>
          <t>Middle Market</t>
        </is>
      </c>
      <c r="D22" s="4" t="inlineStr">
        <is>
          <t>Greenhouse</t>
        </is>
      </c>
      <c r="E22" s="4" t="inlineStr">
        <is>
          <t>https://www.lincolninternational.com/careers</t>
        </is>
      </c>
      <c r="F22" s="4" t="inlineStr">
        <is>
          <t>High</t>
        </is>
      </c>
      <c r="G22" s="4" t="inlineStr">
        <is>
          <t>2027</t>
        </is>
      </c>
      <c r="H22" s="4" t="inlineStr"/>
      <c r="I22" s="4" t="inlineStr"/>
      <c r="J22" s="9" t="inlineStr">
        <is>
          <t>09/01/2026</t>
        </is>
      </c>
      <c r="K22" s="4" t="inlineStr">
        <is>
          <t>Checked - Opening Found</t>
        </is>
      </c>
    </row>
    <row r="23">
      <c r="A23" s="5" t="n">
        <v>20</v>
      </c>
      <c r="B23" s="5" t="inlineStr">
        <is>
          <t>Solomon Partners</t>
        </is>
      </c>
      <c r="C23" s="5" t="inlineStr">
        <is>
          <t>Middle Market</t>
        </is>
      </c>
      <c r="D23" s="5" t="inlineStr">
        <is>
          <t>Greenhouse</t>
        </is>
      </c>
      <c r="E23" s="5" t="inlineStr">
        <is>
          <t>https://www.solomonpartners.com/careers</t>
        </is>
      </c>
      <c r="F23" s="5" t="inlineStr">
        <is>
          <t>High</t>
        </is>
      </c>
      <c r="G23" s="5" t="inlineStr">
        <is>
          <t>2027</t>
        </is>
      </c>
      <c r="H23" s="5" t="inlineStr"/>
      <c r="I23" s="5" t="inlineStr"/>
      <c r="J23" s="10" t="inlineStr">
        <is>
          <t>09/01/2026</t>
        </is>
      </c>
      <c r="K23" s="5" t="inlineStr">
        <is>
          <t>Checked - Opening Found</t>
        </is>
      </c>
    </row>
    <row r="24">
      <c r="A24" s="4" t="n">
        <v>21</v>
      </c>
      <c r="B24" s="4" t="inlineStr">
        <is>
          <t>Stifel</t>
        </is>
      </c>
      <c r="C24" s="4" t="inlineStr">
        <is>
          <t>Middle Market</t>
        </is>
      </c>
      <c r="D24" s="4" t="inlineStr">
        <is>
          <t>JibeApply</t>
        </is>
      </c>
      <c r="E24" s="4" t="inlineStr">
        <is>
          <t>https://join.stifel.com</t>
        </is>
      </c>
      <c r="F24" s="4" t="inlineStr">
        <is>
          <t>High</t>
        </is>
      </c>
      <c r="G24" s="4" t="inlineStr">
        <is>
          <t>2027</t>
        </is>
      </c>
      <c r="H24" s="4" t="inlineStr"/>
      <c r="I24" s="4" t="inlineStr"/>
      <c r="J24" s="9" t="inlineStr">
        <is>
          <t>09/01/2026</t>
        </is>
      </c>
      <c r="K24" s="4" t="inlineStr">
        <is>
          <t>Checked - No Opening</t>
        </is>
      </c>
    </row>
    <row r="25">
      <c r="A25" s="5" t="n">
        <v>22</v>
      </c>
      <c r="B25" s="5" t="inlineStr">
        <is>
          <t>Leerink Partners</t>
        </is>
      </c>
      <c r="C25" s="5" t="inlineStr">
        <is>
          <t>Middle Market</t>
        </is>
      </c>
      <c r="D25" s="5" t="inlineStr">
        <is>
          <t>Workday</t>
        </is>
      </c>
      <c r="E25" s="5" t="inlineStr">
        <is>
          <t>https://www.leerink.com/careers</t>
        </is>
      </c>
      <c r="F25" s="5" t="inlineStr">
        <is>
          <t>High</t>
        </is>
      </c>
      <c r="G25" s="5" t="inlineStr">
        <is>
          <t>2027</t>
        </is>
      </c>
      <c r="H25" s="5" t="inlineStr"/>
      <c r="I25" s="5" t="inlineStr"/>
      <c r="J25" s="10" t="inlineStr">
        <is>
          <t>09/01/2026</t>
        </is>
      </c>
      <c r="K25" s="5" t="inlineStr">
        <is>
          <t>Checked - Opening Found</t>
        </is>
      </c>
    </row>
    <row r="26">
      <c r="A26" s="4" t="n">
        <v>23</v>
      </c>
      <c r="B26" s="4" t="inlineStr">
        <is>
          <t>Macquarie</t>
        </is>
      </c>
      <c r="C26" s="4" t="inlineStr">
        <is>
          <t>Foreign Bank</t>
        </is>
      </c>
      <c r="D26" s="4" t="inlineStr">
        <is>
          <t>Workday</t>
        </is>
      </c>
      <c r="E26" s="4" t="inlineStr">
        <is>
          <t>https://www.macquarie.com/us/en/careers/graduates.html</t>
        </is>
      </c>
      <c r="F26" s="4" t="inlineStr">
        <is>
          <t>High</t>
        </is>
      </c>
      <c r="G26" s="4" t="inlineStr">
        <is>
          <t>2027</t>
        </is>
      </c>
      <c r="H26" s="4" t="inlineStr"/>
      <c r="I26" s="4" t="inlineStr"/>
      <c r="J26" s="9" t="inlineStr">
        <is>
          <t>09/01/2026</t>
        </is>
      </c>
      <c r="K26" s="4" t="inlineStr">
        <is>
          <t>Checked - No Opening</t>
        </is>
      </c>
    </row>
    <row r="27">
      <c r="A27" s="5" t="n">
        <v>24</v>
      </c>
      <c r="B27" s="5" t="inlineStr">
        <is>
          <t>Mizuho (+ Greenhill)</t>
        </is>
      </c>
      <c r="C27" s="5" t="inlineStr">
        <is>
          <t>Foreign Bank</t>
        </is>
      </c>
      <c r="D27" s="5" t="inlineStr">
        <is>
          <t>Workday</t>
        </is>
      </c>
      <c r="E27" s="5" t="inlineStr">
        <is>
          <t>https://www.mizuhogroup.com/careers</t>
        </is>
      </c>
      <c r="F27" s="5" t="inlineStr">
        <is>
          <t>High</t>
        </is>
      </c>
      <c r="G27" s="5" t="inlineStr">
        <is>
          <t>2027</t>
        </is>
      </c>
      <c r="H27" s="5" t="inlineStr"/>
      <c r="I27" s="5" t="inlineStr"/>
      <c r="J27" s="10" t="inlineStr">
        <is>
          <t>09/01/2026</t>
        </is>
      </c>
      <c r="K27" s="5" t="inlineStr">
        <is>
          <t>Checked - Opening Found</t>
        </is>
      </c>
    </row>
    <row r="28">
      <c r="A28" s="4" t="n">
        <v>25</v>
      </c>
      <c r="B28" s="4" t="inlineStr">
        <is>
          <t>HSBC</t>
        </is>
      </c>
      <c r="C28" s="4" t="inlineStr">
        <is>
          <t>Foreign Bank</t>
        </is>
      </c>
      <c r="D28" s="4" t="inlineStr">
        <is>
          <t>Eightfold AI</t>
        </is>
      </c>
      <c r="E28" s="4" t="inlineStr">
        <is>
          <t>https://www.hsbc.com/careers/students-and-graduates</t>
        </is>
      </c>
      <c r="F28" s="4" t="inlineStr">
        <is>
          <t>High</t>
        </is>
      </c>
      <c r="G28" s="4" t="inlineStr">
        <is>
          <t>2027</t>
        </is>
      </c>
      <c r="H28" s="4" t="inlineStr"/>
      <c r="I28" s="4" t="inlineStr"/>
      <c r="J28" s="9" t="inlineStr">
        <is>
          <t>09/01/2026</t>
        </is>
      </c>
      <c r="K28" s="4" t="inlineStr">
        <is>
          <t>Checked - No Opening</t>
        </is>
      </c>
    </row>
    <row r="29">
      <c r="A29" s="5" t="n">
        <v>26</v>
      </c>
      <c r="B29" s="5" t="inlineStr">
        <is>
          <t>MUFG</t>
        </is>
      </c>
      <c r="C29" s="5" t="inlineStr">
        <is>
          <t>Foreign Bank</t>
        </is>
      </c>
      <c r="D29" s="5" t="inlineStr">
        <is>
          <t>Workday</t>
        </is>
      </c>
      <c r="E29" s="5" t="inlineStr">
        <is>
          <t>https://careers.mufgamericas.com</t>
        </is>
      </c>
      <c r="F29" s="5" t="inlineStr">
        <is>
          <t>High</t>
        </is>
      </c>
      <c r="G29" s="5" t="inlineStr">
        <is>
          <t>2027</t>
        </is>
      </c>
      <c r="H29" s="5" t="inlineStr"/>
      <c r="I29" s="5" t="inlineStr"/>
      <c r="J29" s="10" t="inlineStr">
        <is>
          <t>09/01/2026</t>
        </is>
      </c>
      <c r="K29" s="5" t="inlineStr">
        <is>
          <t>Checked - Opening Found</t>
        </is>
      </c>
    </row>
    <row r="30">
      <c r="A30" s="4" t="n">
        <v>27</v>
      </c>
      <c r="B30" s="4" t="inlineStr">
        <is>
          <t>Scotiabank</t>
        </is>
      </c>
      <c r="C30" s="4" t="inlineStr">
        <is>
          <t>Foreign Bank</t>
        </is>
      </c>
      <c r="D30" s="4" t="inlineStr">
        <is>
          <t>RSS Feed</t>
        </is>
      </c>
      <c r="E30" s="4" t="inlineStr">
        <is>
          <t>https://jobs.scotiabank.com</t>
        </is>
      </c>
      <c r="F30" s="4" t="inlineStr">
        <is>
          <t>High</t>
        </is>
      </c>
      <c r="G30" s="4" t="inlineStr">
        <is>
          <t>2027</t>
        </is>
      </c>
      <c r="H30" s="4" t="inlineStr"/>
      <c r="I30" s="4" t="inlineStr"/>
      <c r="J30" s="9" t="inlineStr">
        <is>
          <t>09/01/2026</t>
        </is>
      </c>
      <c r="K30" s="4" t="inlineStr">
        <is>
          <t>Checked - Opening Found</t>
        </is>
      </c>
    </row>
    <row r="31">
      <c r="A31" s="5" t="n">
        <v>28</v>
      </c>
      <c r="B31" s="5" t="inlineStr">
        <is>
          <t>Alvarez &amp; Marsal</t>
        </is>
      </c>
      <c r="C31" s="5" t="inlineStr">
        <is>
          <t>Restructuring Advisory</t>
        </is>
      </c>
      <c r="D31" s="5" t="inlineStr">
        <is>
          <t>Workday</t>
        </is>
      </c>
      <c r="E31" s="5" t="inlineStr">
        <is>
          <t>https://www.alvarezandmarsal.com/careers</t>
        </is>
      </c>
      <c r="F31" s="5" t="inlineStr">
        <is>
          <t>High</t>
        </is>
      </c>
      <c r="G31" s="5" t="inlineStr">
        <is>
          <t>2027</t>
        </is>
      </c>
      <c r="H31" s="5" t="inlineStr"/>
      <c r="I31" s="5" t="inlineStr"/>
      <c r="J31" s="10" t="inlineStr">
        <is>
          <t>09/01/2026</t>
        </is>
      </c>
      <c r="K31" s="5" t="inlineStr">
        <is>
          <t>Checked - No Opening</t>
        </is>
      </c>
    </row>
    <row r="32">
      <c r="A32" s="4" t="n">
        <v>29</v>
      </c>
      <c r="B32" s="4" t="inlineStr">
        <is>
          <t>Ankura</t>
        </is>
      </c>
      <c r="C32" s="4" t="inlineStr">
        <is>
          <t>Restructuring Advisory</t>
        </is>
      </c>
      <c r="D32" s="4" t="inlineStr">
        <is>
          <t>Workday</t>
        </is>
      </c>
      <c r="E32" s="4" t="inlineStr">
        <is>
          <t>https://ankura.com/careers</t>
        </is>
      </c>
      <c r="F32" s="4" t="inlineStr">
        <is>
          <t>High</t>
        </is>
      </c>
      <c r="G32" s="4" t="inlineStr">
        <is>
          <t>2027</t>
        </is>
      </c>
      <c r="H32" s="4" t="inlineStr"/>
      <c r="I32" s="4" t="inlineStr"/>
      <c r="J32" s="9" t="inlineStr">
        <is>
          <t>09/01/2026</t>
        </is>
      </c>
      <c r="K32" s="4" t="inlineStr">
        <is>
          <t>Checked - No Opening</t>
        </is>
      </c>
    </row>
    <row r="33">
      <c r="A33" s="5" t="n">
        <v>30</v>
      </c>
      <c r="B33" s="5" t="inlineStr">
        <is>
          <t>Harris Williams</t>
        </is>
      </c>
      <c r="C33" s="5" t="inlineStr">
        <is>
          <t>Restructuring Advisory</t>
        </is>
      </c>
      <c r="D33" s="5" t="inlineStr">
        <is>
          <t>Workday</t>
        </is>
      </c>
      <c r="E33" s="5" t="inlineStr">
        <is>
          <t>https://www.harriswilliams.com/careers</t>
        </is>
      </c>
      <c r="F33" s="5" t="inlineStr">
        <is>
          <t>High</t>
        </is>
      </c>
      <c r="G33" s="5" t="inlineStr">
        <is>
          <t>2027</t>
        </is>
      </c>
      <c r="H33" s="5" t="inlineStr"/>
      <c r="I33" s="5" t="inlineStr"/>
      <c r="J33" s="10" t="inlineStr">
        <is>
          <t>09/01/2026</t>
        </is>
      </c>
      <c r="K33" s="5" t="inlineStr">
        <is>
          <t>Checked - No Opening</t>
        </is>
      </c>
    </row>
    <row r="34">
      <c r="A34" s="4" t="n">
        <v>31</v>
      </c>
      <c r="B34" s="4" t="inlineStr">
        <is>
          <t>Portage Point</t>
        </is>
      </c>
      <c r="C34" s="4" t="inlineStr">
        <is>
          <t>Restructuring Advisory</t>
        </is>
      </c>
      <c r="D34" s="4" t="inlineStr">
        <is>
          <t>Lever</t>
        </is>
      </c>
      <c r="E34" s="4" t="inlineStr">
        <is>
          <t>https://www.portagepointpartners.com/careers</t>
        </is>
      </c>
      <c r="F34" s="4" t="inlineStr">
        <is>
          <t>High</t>
        </is>
      </c>
      <c r="G34" s="4" t="inlineStr">
        <is>
          <t>2027</t>
        </is>
      </c>
      <c r="H34" s="4" t="inlineStr"/>
      <c r="I34" s="4" t="inlineStr"/>
      <c r="J34" s="9" t="inlineStr">
        <is>
          <t>09/01/2026</t>
        </is>
      </c>
      <c r="K34" s="4" t="inlineStr">
        <is>
          <t>Checked - No Opening</t>
        </is>
      </c>
    </row>
    <row r="35">
      <c r="A35" s="5" t="n">
        <v>32</v>
      </c>
      <c r="B35" s="5" t="inlineStr">
        <is>
          <t>Accordion</t>
        </is>
      </c>
      <c r="C35" s="5" t="inlineStr">
        <is>
          <t>Restructuring Advisory</t>
        </is>
      </c>
      <c r="D35" s="5" t="inlineStr">
        <is>
          <t>Greenhouse</t>
        </is>
      </c>
      <c r="E35" s="5" t="inlineStr">
        <is>
          <t>https://www.accordion.com/careers</t>
        </is>
      </c>
      <c r="F35" s="5" t="inlineStr">
        <is>
          <t>High</t>
        </is>
      </c>
      <c r="G35" s="5" t="inlineStr">
        <is>
          <t>2027</t>
        </is>
      </c>
      <c r="H35" s="5" t="inlineStr"/>
      <c r="I35" s="5" t="inlineStr"/>
      <c r="J35" s="10" t="inlineStr">
        <is>
          <t>09/01/2026</t>
        </is>
      </c>
      <c r="K35" s="5" t="inlineStr">
        <is>
          <t>Checked - No Opening</t>
        </is>
      </c>
    </row>
    <row r="36">
      <c r="A36" s="4" t="n">
        <v>33</v>
      </c>
      <c r="B36" s="4" t="inlineStr">
        <is>
          <t>Kroll</t>
        </is>
      </c>
      <c r="C36" s="4" t="inlineStr">
        <is>
          <t>Restructuring Advisory</t>
        </is>
      </c>
      <c r="D36" s="4" t="inlineStr">
        <is>
          <t>Oracle Cloud HCM</t>
        </is>
      </c>
      <c r="E36" s="4" t="inlineStr">
        <is>
          <t>https://www.kroll.com/en/careers</t>
        </is>
      </c>
      <c r="F36" s="4" t="inlineStr">
        <is>
          <t>High</t>
        </is>
      </c>
      <c r="G36" s="4" t="inlineStr">
        <is>
          <t>2027</t>
        </is>
      </c>
      <c r="H36" s="4" t="inlineStr"/>
      <c r="I36" s="4" t="inlineStr"/>
      <c r="J36" s="9" t="inlineStr">
        <is>
          <t>09/01/2026</t>
        </is>
      </c>
      <c r="K36" s="4" t="inlineStr">
        <is>
          <t>Checked - No Opening</t>
        </is>
      </c>
    </row>
    <row r="37">
      <c r="A37" s="5" t="n">
        <v>34</v>
      </c>
      <c r="B37" s="5" t="inlineStr">
        <is>
          <t>Goldman Sachs</t>
        </is>
      </c>
      <c r="C37" s="5" t="inlineStr">
        <is>
          <t>Bulge Bracket</t>
        </is>
      </c>
      <c r="D37" s="5" t="inlineStr">
        <is>
          <t>Manual</t>
        </is>
      </c>
      <c r="E37" s="5" t="inlineStr">
        <is>
          <t>https://www.goldmansachs.com/careers/students</t>
        </is>
      </c>
      <c r="F37" s="5" t="inlineStr">
        <is>
          <t>Medium</t>
        </is>
      </c>
      <c r="G37" s="5" t="inlineStr">
        <is>
          <t>2027</t>
        </is>
      </c>
      <c r="H37" s="5" t="inlineStr">
        <is>
          <t>No public API — Workday CXS returns 422 for all known site slugs</t>
        </is>
      </c>
      <c r="I37" s="5" t="inlineStr"/>
      <c r="J37" s="10" t="inlineStr">
        <is>
          <t>09/01/2026</t>
        </is>
      </c>
      <c r="K37" s="5" t="inlineStr">
        <is>
          <t>No public API — Workday CXS returns 422 for all known site slugs</t>
        </is>
      </c>
    </row>
    <row r="38">
      <c r="A38" s="4" t="n">
        <v>35</v>
      </c>
      <c r="B38" s="4" t="inlineStr">
        <is>
          <t>UBS</t>
        </is>
      </c>
      <c r="C38" s="4" t="inlineStr">
        <is>
          <t>Bulge Bracket</t>
        </is>
      </c>
      <c r="D38" s="4" t="inlineStr">
        <is>
          <t>Manual</t>
        </is>
      </c>
      <c r="E38" s="4" t="inlineStr">
        <is>
          <t>https://www.ubs.com/careers/en/students.html</t>
        </is>
      </c>
      <c r="F38" s="4" t="inlineStr">
        <is>
          <t>Medium</t>
        </is>
      </c>
      <c r="G38" s="4" t="inlineStr">
        <is>
          <t>2027</t>
        </is>
      </c>
      <c r="H38" s="4" t="inlineStr">
        <is>
          <t>No public API — Workday CXS returns 422 for all known site slugs</t>
        </is>
      </c>
      <c r="I38" s="4" t="inlineStr"/>
      <c r="J38" s="9" t="inlineStr">
        <is>
          <t>09/01/2026</t>
        </is>
      </c>
      <c r="K38" s="4" t="inlineStr">
        <is>
          <t>No public API — Workday CXS returns 422 for all known site slugs</t>
        </is>
      </c>
    </row>
    <row r="39">
      <c r="A39" s="5" t="n">
        <v>36</v>
      </c>
      <c r="B39" s="5" t="inlineStr">
        <is>
          <t>Evercore</t>
        </is>
      </c>
      <c r="C39" s="5" t="inlineStr">
        <is>
          <t>Elite Boutique</t>
        </is>
      </c>
      <c r="D39" s="5" t="inlineStr">
        <is>
          <t>Manual</t>
        </is>
      </c>
      <c r="E39" s="5" t="inlineStr">
        <is>
          <t>https://evercore.tal.net/candidate/jobboard/vacancy/2/adv/</t>
        </is>
      </c>
      <c r="F39" s="5" t="inlineStr">
        <is>
          <t>Medium</t>
        </is>
      </c>
      <c r="G39" s="5" t="inlineStr">
        <is>
          <t>2027</t>
        </is>
      </c>
      <c r="H39" s="5" t="inlineStr">
        <is>
          <t>No public API — uses Tal.net (JS-rendered, auth-walled), not Lever</t>
        </is>
      </c>
      <c r="I39" s="5" t="inlineStr"/>
      <c r="J39" s="10" t="inlineStr">
        <is>
          <t>09/01/2026</t>
        </is>
      </c>
      <c r="K39" s="5" t="inlineStr">
        <is>
          <t>No public API — uses Tal.net (JS-rendered, auth-walled), not Lever</t>
        </is>
      </c>
    </row>
    <row r="40">
      <c r="A40" s="4" t="n">
        <v>37</v>
      </c>
      <c r="B40" s="4" t="inlineStr">
        <is>
          <t>Centerview Partners</t>
        </is>
      </c>
      <c r="C40" s="4" t="inlineStr">
        <is>
          <t>Elite Boutique</t>
        </is>
      </c>
      <c r="D40" s="4" t="inlineStr">
        <is>
          <t>Manual</t>
        </is>
      </c>
      <c r="E40" s="4" t="inlineStr">
        <is>
          <t>https://www.centerviewpartners.com/careers</t>
        </is>
      </c>
      <c r="F40" s="4" t="inlineStr">
        <is>
          <t>Medium</t>
        </is>
      </c>
      <c r="G40" s="4" t="inlineStr">
        <is>
          <t>2027</t>
        </is>
      </c>
      <c r="H40" s="4" t="inlineStr">
        <is>
          <t>No public API — custom ASP.NET form, not on Greenhouse</t>
        </is>
      </c>
      <c r="I40" s="4" t="inlineStr"/>
      <c r="J40" s="9" t="inlineStr">
        <is>
          <t>09/01/2026</t>
        </is>
      </c>
      <c r="K40" s="4" t="inlineStr">
        <is>
          <t>No public API — custom ASP.NET form, not on Greenhouse</t>
        </is>
      </c>
    </row>
    <row r="41">
      <c r="A41" s="5" t="n">
        <v>38</v>
      </c>
      <c r="B41" s="5" t="inlineStr">
        <is>
          <t>Greenhill</t>
        </is>
      </c>
      <c r="C41" s="5" t="inlineStr">
        <is>
          <t>Elite Boutique</t>
        </is>
      </c>
      <c r="D41" s="5" t="inlineStr">
        <is>
          <t>Manual</t>
        </is>
      </c>
      <c r="E41" s="5" t="inlineStr">
        <is>
          <t>https://www.greenhill.com/careers</t>
        </is>
      </c>
      <c r="F41" s="5" t="inlineStr">
        <is>
          <t>Medium</t>
        </is>
      </c>
      <c r="G41" s="5" t="inlineStr">
        <is>
          <t>2027</t>
        </is>
      </c>
      <c r="H41" s="5" t="inlineStr">
        <is>
          <t>Acquired by Mizuho (2023) — roles now posted under the Mizuho listing</t>
        </is>
      </c>
      <c r="I41" s="5" t="inlineStr"/>
      <c r="J41" s="10" t="inlineStr">
        <is>
          <t>09/01/2026</t>
        </is>
      </c>
      <c r="K41" s="5" t="inlineStr">
        <is>
          <t>Acquired by Mizuho (2023) — roles now posted under the Mizuho listing</t>
        </is>
      </c>
    </row>
    <row r="42">
      <c r="A42" s="4" t="n">
        <v>39</v>
      </c>
      <c r="B42" s="4" t="inlineStr">
        <is>
          <t>Qatalyst Partners</t>
        </is>
      </c>
      <c r="C42" s="4" t="inlineStr">
        <is>
          <t>Elite Boutique</t>
        </is>
      </c>
      <c r="D42" s="4" t="inlineStr">
        <is>
          <t>Manual</t>
        </is>
      </c>
      <c r="E42" s="4" t="inlineStr">
        <is>
          <t>https://www.qatalyst.com</t>
        </is>
      </c>
      <c r="F42" s="4" t="inlineStr">
        <is>
          <t>Medium</t>
        </is>
      </c>
      <c r="G42" s="4" t="inlineStr">
        <is>
          <t>2027</t>
        </is>
      </c>
      <c r="H42" s="4" t="inlineStr">
        <is>
          <t>No public job board — recruiting is email/referral-based (uscareers@qatalyst.com)</t>
        </is>
      </c>
      <c r="I42" s="4" t="inlineStr"/>
      <c r="J42" s="9" t="inlineStr">
        <is>
          <t>09/01/2026</t>
        </is>
      </c>
      <c r="K42" s="4" t="inlineStr">
        <is>
          <t>No public job board — recruiting is email/referral-based (uscareers@qatalyst.com)</t>
        </is>
      </c>
    </row>
    <row r="43">
      <c r="A43" s="5" t="n">
        <v>40</v>
      </c>
      <c r="B43" s="5" t="inlineStr">
        <is>
          <t>Needham &amp; Company</t>
        </is>
      </c>
      <c r="C43" s="5" t="inlineStr">
        <is>
          <t>Middle Market</t>
        </is>
      </c>
      <c r="D43" s="5" t="inlineStr">
        <is>
          <t>Manual</t>
        </is>
      </c>
      <c r="E43" s="5" t="inlineStr">
        <is>
          <t>https://www.needhamco.com/careers/</t>
        </is>
      </c>
      <c r="F43" s="5" t="inlineStr">
        <is>
          <t>Medium</t>
        </is>
      </c>
      <c r="G43" s="5" t="inlineStr">
        <is>
          <t>2027</t>
        </is>
      </c>
      <c r="H43" s="5" t="inlineStr">
        <is>
          <t>No public API — Tal.net job board is CAPTCHA-protected (Oleeo bot check)</t>
        </is>
      </c>
      <c r="I43" s="5" t="inlineStr"/>
      <c r="J43" s="10" t="inlineStr">
        <is>
          <t>09/01/2026</t>
        </is>
      </c>
      <c r="K43" s="5" t="inlineStr">
        <is>
          <t>No public API — Tal.net job board is CAPTCHA-protected (Oleeo bot check)</t>
        </is>
      </c>
    </row>
    <row r="44">
      <c r="A44" s="4" t="n">
        <v>41</v>
      </c>
      <c r="B44" s="4" t="inlineStr">
        <is>
          <t>Nomura</t>
        </is>
      </c>
      <c r="C44" s="4" t="inlineStr">
        <is>
          <t>Foreign Bank</t>
        </is>
      </c>
      <c r="D44" s="4" t="inlineStr">
        <is>
          <t>Manual</t>
        </is>
      </c>
      <c r="E44" s="4" t="inlineStr">
        <is>
          <t>https://www.nomura.com/americas/careers</t>
        </is>
      </c>
      <c r="F44" s="4" t="inlineStr">
        <is>
          <t>Medium</t>
        </is>
      </c>
      <c r="G44" s="4" t="inlineStr">
        <is>
          <t>2027</t>
        </is>
      </c>
      <c r="H44" s="4" t="inlineStr">
        <is>
          <t>No public API — SAP SuccessFactors career site is auth-walled</t>
        </is>
      </c>
      <c r="I44" s="4" t="inlineStr"/>
      <c r="J44" s="9" t="inlineStr">
        <is>
          <t>09/01/2026</t>
        </is>
      </c>
      <c r="K44" s="4" t="inlineStr">
        <is>
          <t>No public API — SAP SuccessFactors career site is auth-walled</t>
        </is>
      </c>
    </row>
    <row r="45">
      <c r="A45" s="5" t="n">
        <v>42</v>
      </c>
      <c r="B45" s="5" t="inlineStr">
        <is>
          <t>BNP Paribas</t>
        </is>
      </c>
      <c r="C45" s="5" t="inlineStr">
        <is>
          <t>Foreign Bank</t>
        </is>
      </c>
      <c r="D45" s="5" t="inlineStr">
        <is>
          <t>Manual</t>
        </is>
      </c>
      <c r="E45" s="5" t="inlineStr">
        <is>
          <t>https://careers.bnpparibas.com</t>
        </is>
      </c>
      <c r="F45" s="5" t="inlineStr">
        <is>
          <t>Medium</t>
        </is>
      </c>
      <c r="G45" s="5" t="inlineStr">
        <is>
          <t>2027</t>
        </is>
      </c>
      <c r="H45" s="5" t="inlineStr">
        <is>
          <t>No public API — uses Tal.net (JS-rendered, auth-walled), not Greenhouse</t>
        </is>
      </c>
      <c r="I45" s="5" t="inlineStr"/>
      <c r="J45" s="10" t="inlineStr">
        <is>
          <t>09/01/2026</t>
        </is>
      </c>
      <c r="K45" s="5" t="inlineStr">
        <is>
          <t>No public API — uses Tal.net (JS-rendered, auth-walled), not Greenhouse</t>
        </is>
      </c>
    </row>
    <row r="46">
      <c r="A46" s="4" t="n">
        <v>43</v>
      </c>
      <c r="B46" s="4" t="inlineStr">
        <is>
          <t>AlixPartners</t>
        </is>
      </c>
      <c r="C46" s="4" t="inlineStr">
        <is>
          <t>Restructuring Advisory</t>
        </is>
      </c>
      <c r="D46" s="4" t="inlineStr">
        <is>
          <t>Manual</t>
        </is>
      </c>
      <c r="E46" s="4" t="inlineStr">
        <is>
          <t>https://www.alixpartners.com/careers/entry-level</t>
        </is>
      </c>
      <c r="F46" s="4" t="inlineStr">
        <is>
          <t>Medium</t>
        </is>
      </c>
      <c r="G46" s="4" t="inlineStr">
        <is>
          <t>2027</t>
        </is>
      </c>
      <c r="H46" s="4" t="inlineStr">
        <is>
          <t>No public API — job search portal is a JS-rendered SPA with no accessible feed</t>
        </is>
      </c>
      <c r="I46" s="4" t="inlineStr"/>
      <c r="J46" s="9" t="inlineStr">
        <is>
          <t>09/01/2026</t>
        </is>
      </c>
      <c r="K46" s="4" t="inlineStr">
        <is>
          <t>No public API — job search portal is a JS-rendered SPA with no accessible feed</t>
        </is>
      </c>
    </row>
  </sheetData>
  <autoFilter ref="A3:K46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</cols>
  <sheetData>
    <row r="1" ht="22" customHeight="1">
      <c r="A1" s="1" t="inlineStr">
        <is>
          <t>Search Log</t>
        </is>
      </c>
    </row>
    <row r="2" ht="16" customHeight="1">
      <c r="A2" s="2" t="inlineStr">
        <is>
          <t>One row per bank per `ib-tracker update` run.</t>
        </is>
      </c>
    </row>
    <row r="3">
      <c r="A3" s="3" t="inlineStr">
        <is>
          <t>#</t>
        </is>
      </c>
      <c r="B3" s="3" t="inlineStr">
        <is>
          <t>Date Checked</t>
        </is>
      </c>
      <c r="C3" s="3" t="inlineStr">
        <is>
          <t>Time</t>
        </is>
      </c>
      <c r="D3" s="3" t="inlineStr">
        <is>
          <t>Bank</t>
        </is>
      </c>
      <c r="E3" s="3" t="inlineStr">
        <is>
          <t>Sample Link</t>
        </is>
      </c>
      <c r="F3" s="3" t="inlineStr">
        <is>
          <t>Search Terms</t>
        </is>
      </c>
      <c r="G3" s="3" t="inlineStr">
        <is>
          <t>Found?</t>
        </is>
      </c>
      <c r="H3" s="3" t="inlineStr">
        <is>
          <t># Postings</t>
        </is>
      </c>
      <c r="I3" s="3" t="inlineStr">
        <is>
          <t>Job Titles</t>
        </is>
      </c>
      <c r="J3" s="3" t="inlineStr">
        <is>
          <t>Links</t>
        </is>
      </c>
      <c r="K3" s="3" t="inlineStr">
        <is>
          <t>Source</t>
        </is>
      </c>
      <c r="L3" s="3" t="inlineStr">
        <is>
          <t>Priority</t>
        </is>
      </c>
      <c r="M3" s="3" t="inlineStr">
        <is>
          <t>Notes</t>
        </is>
      </c>
    </row>
    <row r="4" ht="16" customHeight="1">
      <c r="A4" s="4" t="n">
        <v>1</v>
      </c>
      <c r="B4" s="4" t="inlineStr">
        <is>
          <t>09/01/2026</t>
        </is>
      </c>
      <c r="C4" s="4" t="inlineStr">
        <is>
          <t>19:51</t>
        </is>
      </c>
      <c r="D4" s="4" t="inlineStr">
        <is>
          <t>Morgan Stanley</t>
        </is>
      </c>
      <c r="E4" s="4" t="inlineStr">
        <is>
          <t>https://ms.wd5.myworkdayjobs.com/en-US/External/job/New-York-New-York-United-States-of-America/Fixed-Income-Research---Securitized-Products-Strategist--Analyst_JR042147-1</t>
        </is>
      </c>
      <c r="F4" s="4" t="inlineStr">
        <is>
          <t>Investment Banking Analyst, Full-Time Analyst</t>
        </is>
      </c>
      <c r="G4" s="4" t="inlineStr">
        <is>
          <t>Yes</t>
        </is>
      </c>
      <c r="H4" s="4" t="n">
        <v>1</v>
      </c>
      <c r="I4" s="4" t="inlineStr">
        <is>
          <t>Fixed Income Research – Securitized Products Strategist  Analyst</t>
        </is>
      </c>
      <c r="J4" s="4" t="inlineStr">
        <is>
          <t>https://ms.wd5.myworkdayjobs.com/en-US/External/job/New-York-New-York-United-States-of-America/Fixed-Income-Research---Securitized-Products-Strategist--Analyst_JR042147-1</t>
        </is>
      </c>
      <c r="K4" s="4" t="inlineStr">
        <is>
          <t>Workday</t>
        </is>
      </c>
      <c r="L4" s="4" t="inlineStr">
        <is>
          <t>High</t>
        </is>
      </c>
      <c r="M4" s="4" t="inlineStr"/>
    </row>
    <row r="5" ht="16" customHeight="1">
      <c r="A5" s="5" t="n">
        <v>2</v>
      </c>
      <c r="B5" s="5" t="inlineStr">
        <is>
          <t>09/01/2026</t>
        </is>
      </c>
      <c r="C5" s="5" t="inlineStr">
        <is>
          <t>19:51</t>
        </is>
      </c>
      <c r="D5" s="5" t="inlineStr">
        <is>
          <t>J.P. Morgan</t>
        </is>
      </c>
      <c r="E5" s="5" t="inlineStr">
        <is>
          <t>https://jpmc.fa.oraclecloud.com/hcmUI/CandidateExperience/en/sites/CX_1/job/210778877</t>
        </is>
      </c>
      <c r="F5" s="5" t="inlineStr">
        <is>
          <t>Investment Banking Analyst, Full-Time Analyst</t>
        </is>
      </c>
      <c r="G5" s="5" t="inlineStr">
        <is>
          <t>Yes</t>
        </is>
      </c>
      <c r="H5" s="5" t="n">
        <v>15</v>
      </c>
      <c r="I5" s="5" t="inlineStr">
        <is>
          <t>Investment Banking - Small-Cap Investment Banking - Analyst; Investment Banking - Strategic Investment Group - Analyst; Investment Banking - Healthcare - Analyst; Investment Banking - Healthcare - Analyst; Investment Banking - Media &amp; Communications - Analyst; Investment Banking - Strategic Investment Group, Infrastructure - Analyst; Investment Banking - Leveraged Finance - Analyst; Investment Banking - Consumer &amp; Retail - Analyst; Investment Banking - Financial Institutions Group, Banks - Analyst; Investment Banking - Financial Institutions Group - Analyst; Investment Banking - Infrastructure Finance and Advisory - Analyst; 2027 Commercial &amp; Investment Bank Markets Full-Time Analyst Program - Research; US Equity Research - Homebuilding &amp; Building Products - Analyst; US Equity Research - Retailing - Hardlines/Broadlines - Analyst; Quantitative Trading &amp; Research - Equity Derivatives Exotics - Analyst</t>
        </is>
      </c>
      <c r="J5" s="5" t="inlineStr">
        <is>
          <t>https://jpmc.fa.oraclecloud.com/hcmUI/CandidateExperience/en/sites/CX_1/job/210778877; https://jpmc.fa.oraclecloud.com/hcmUI/CandidateExperience/en/sites/CX_1/job/210782168; https://jpmc.fa.oraclecloud.com/hcmUI/CandidateExperience/en/sites/CX_1/job/210706007; https://jpmc.fa.oraclecloud.com/hcmUI/CandidateExperience/en/sites/CX_1/job/210716451; https://jpmc.fa.oraclecloud.com/hcmUI/CandidateExperience/en/sites/CX_1/job/210693656; https://jpmc.fa.oraclecloud.com/hcmUI/CandidateExperience/en/sites/CX_1/job/210626089; https://jpmc.fa.oraclecloud.com/hcmUI/CandidateExperience/en/sites/CX_1/job/210725578; https://jpmc.fa.oraclecloud.com/hcmUI/CandidateExperience/en/sites/CX_1/job/210777857; https://jpmc.fa.oraclecloud.com/hcmUI/CandidateExperience/en/sites/CX_1/job/210784213; https://jpmc.fa.oraclecloud.com/hcmUI/CandidateExperience/en/sites/CX_1/job/210733219; https://jpmc.fa.oraclecloud.com/hcmUI/CandidateExperience/en/sites/CX_1/job/210749950; https://jpmc.fa.oraclecloud.com/hcmUI/CandidateExperience/en/sites/CX_1/job/210763120; https://jpmc.fa.oraclecloud.com/hcmUI/CandidateExperience/en/sites/CX_1/job/210771944; https://jpmc.fa.oraclecloud.com/hcmUI/CandidateExperience/en/sites/CX_1/job/210745261; https://jpmc.fa.oraclecloud.com/hcmUI/CandidateExperience/en/sites/CX_1/job/210770118</t>
        </is>
      </c>
      <c r="K5" s="5" t="inlineStr">
        <is>
          <t>Oracle Cloud HCM</t>
        </is>
      </c>
      <c r="L5" s="5" t="inlineStr">
        <is>
          <t>High</t>
        </is>
      </c>
      <c r="M5" s="5" t="inlineStr"/>
    </row>
    <row r="6" ht="16" customHeight="1">
      <c r="A6" s="4" t="n">
        <v>3</v>
      </c>
      <c r="B6" s="4" t="inlineStr">
        <is>
          <t>09/01/2026</t>
        </is>
      </c>
      <c r="C6" s="4" t="inlineStr">
        <is>
          <t>19:51</t>
        </is>
      </c>
      <c r="D6" s="4" t="inlineStr">
        <is>
          <t>Bank of America</t>
        </is>
      </c>
      <c r="E6" s="4" t="inlineStr">
        <is>
          <t>—</t>
        </is>
      </c>
      <c r="F6" s="4" t="inlineStr">
        <is>
          <t>Investment Banking Analyst, Full-Time Analyst</t>
        </is>
      </c>
      <c r="G6" s="4" t="inlineStr">
        <is>
          <t>No</t>
        </is>
      </c>
      <c r="H6" s="4" t="n">
        <v>0</v>
      </c>
      <c r="I6" s="4" t="inlineStr">
        <is>
          <t>—</t>
        </is>
      </c>
      <c r="J6" s="4" t="inlineStr">
        <is>
          <t>—</t>
        </is>
      </c>
      <c r="K6" s="4" t="inlineStr">
        <is>
          <t>Direct Website</t>
        </is>
      </c>
      <c r="L6" s="4" t="inlineStr">
        <is>
          <t>High</t>
        </is>
      </c>
      <c r="M6" s="4" t="inlineStr"/>
    </row>
    <row r="7" ht="16" customHeight="1">
      <c r="A7" s="5" t="n">
        <v>4</v>
      </c>
      <c r="B7" s="5" t="inlineStr">
        <is>
          <t>09/01/2026</t>
        </is>
      </c>
      <c r="C7" s="5" t="inlineStr">
        <is>
          <t>19:52</t>
        </is>
      </c>
      <c r="D7" s="5" t="inlineStr">
        <is>
          <t>Citi</t>
        </is>
      </c>
      <c r="E7" s="5" t="inlineStr">
        <is>
          <t>https://citi.wd5.myworkdayjobs.com/en-US/2/job/New-York-New-York-United-States/Investment-Banking-Sr-Analyst---Healthcare_26980270</t>
        </is>
      </c>
      <c r="F7" s="5" t="inlineStr">
        <is>
          <t>Investment Banking Analyst, Full-Time Analyst</t>
        </is>
      </c>
      <c r="G7" s="5" t="inlineStr">
        <is>
          <t>Yes</t>
        </is>
      </c>
      <c r="H7" s="5" t="n">
        <v>8</v>
      </c>
      <c r="I7" s="5" t="inlineStr">
        <is>
          <t>Investment Banking Sr Analyst - Healthcare; Investment Banking Senior Analyst - Industrials; Investment Banking Senior Analyst - M&amp;A; Investment Banking Sr Analyst - Financial Institutions; Investment Banking, ECM - Analyst/ Senior Analyst - North America and LATAM Coverage; Equity Research Analyst, SMID Biotech; Equity Research Analyst, Information Services; Markets - Commodities, Full-Time Analyst, Houston - US, 2027</t>
        </is>
      </c>
      <c r="J7" s="5" t="inlineStr">
        <is>
          <t>https://citi.wd5.myworkdayjobs.com/en-US/2/job/New-York-New-York-United-States/Investment-Banking-Sr-Analyst---Healthcare_26980270; https://citi.wd5.myworkdayjobs.com/en-US/2/job/New-York-New-York-United-States/Investment-Banking-Senior-Analyst---Industrials_26990572; https://citi.wd5.myworkdayjobs.com/en-US/2/job/New-York-New-York-United-States/Investment-Banking-Senior-Analyst---M-A_26970880; https://citi.wd5.myworkdayjobs.com/en-US/2/job/New-York-New-York-United-States/Investment-Banking-Sr-Analyst---Financial-Institutions_26985022; https://citi.wd5.myworkdayjobs.com/en-US/2/job/New-York-New-York-United-States/Investment-Banking--ECM---Analyst--Senior-Analyst---North-America-and-LATAM-Coverage_26980777; https://citi.wd5.myworkdayjobs.com/en-US/2/job/New-York-New-York-United-States/Equity-Research-Analyst--SMID-Biotech_26986970; https://citi.wd5.myworkdayjobs.com/en-US/2/job/New-York-New-York-United-States/Equity-Research-Analyst--Information-Services_26987685; https://citi.wd5.myworkdayjobs.com/en-US/2/job/Houston-Texas-United-States/Markets---Commodities--Full-Time-Analyst--Houston---US--2027_26978728</t>
        </is>
      </c>
      <c r="K7" s="5" t="inlineStr">
        <is>
          <t>Workday</t>
        </is>
      </c>
      <c r="L7" s="5" t="inlineStr">
        <is>
          <t>High</t>
        </is>
      </c>
      <c r="M7" s="5" t="inlineStr"/>
    </row>
    <row r="8" ht="16" customHeight="1">
      <c r="A8" s="4" t="n">
        <v>5</v>
      </c>
      <c r="B8" s="4" t="inlineStr">
        <is>
          <t>09/01/2026</t>
        </is>
      </c>
      <c r="C8" s="4" t="inlineStr">
        <is>
          <t>19:52</t>
        </is>
      </c>
      <c r="D8" s="4" t="inlineStr">
        <is>
          <t>Barclays</t>
        </is>
      </c>
      <c r="E8" s="4" t="inlineStr">
        <is>
          <t>—</t>
        </is>
      </c>
      <c r="F8" s="4" t="inlineStr">
        <is>
          <t>Investment Banking Analyst, Full-Time Analyst</t>
        </is>
      </c>
      <c r="G8" s="4" t="inlineStr">
        <is>
          <t>No</t>
        </is>
      </c>
      <c r="H8" s="4" t="n">
        <v>0</v>
      </c>
      <c r="I8" s="4" t="inlineStr">
        <is>
          <t>—</t>
        </is>
      </c>
      <c r="J8" s="4" t="inlineStr">
        <is>
          <t>—</t>
        </is>
      </c>
      <c r="K8" s="4" t="inlineStr">
        <is>
          <t>Direct Website</t>
        </is>
      </c>
      <c r="L8" s="4" t="inlineStr">
        <is>
          <t>High</t>
        </is>
      </c>
      <c r="M8" s="4" t="inlineStr"/>
    </row>
    <row r="9" ht="16" customHeight="1">
      <c r="A9" s="5" t="n">
        <v>6</v>
      </c>
      <c r="B9" s="5" t="inlineStr">
        <is>
          <t>09/01/2026</t>
        </is>
      </c>
      <c r="C9" s="5" t="inlineStr">
        <is>
          <t>19:52</t>
        </is>
      </c>
      <c r="D9" s="5" t="inlineStr">
        <is>
          <t>Deutsche Bank</t>
        </is>
      </c>
      <c r="E9" s="5" t="inlineStr">
        <is>
          <t>—</t>
        </is>
      </c>
      <c r="F9" s="5" t="inlineStr">
        <is>
          <t>Investment Banking Analyst, Full-Time Analyst</t>
        </is>
      </c>
      <c r="G9" s="5" t="inlineStr">
        <is>
          <t>No</t>
        </is>
      </c>
      <c r="H9" s="5" t="n">
        <v>0</v>
      </c>
      <c r="I9" s="5" t="inlineStr">
        <is>
          <t>—</t>
        </is>
      </c>
      <c r="J9" s="5" t="inlineStr">
        <is>
          <t>—</t>
        </is>
      </c>
      <c r="K9" s="5" t="inlineStr">
        <is>
          <t>Direct Website</t>
        </is>
      </c>
      <c r="L9" s="5" t="inlineStr">
        <is>
          <t>High</t>
        </is>
      </c>
      <c r="M9" s="5" t="inlineStr"/>
    </row>
    <row r="10" ht="16" customHeight="1">
      <c r="A10" s="4" t="n">
        <v>7</v>
      </c>
      <c r="B10" s="4" t="inlineStr">
        <is>
          <t>09/01/2026</t>
        </is>
      </c>
      <c r="C10" s="4" t="inlineStr">
        <is>
          <t>19:52</t>
        </is>
      </c>
      <c r="D10" s="4" t="inlineStr">
        <is>
          <t>Wells Fargo</t>
        </is>
      </c>
      <c r="E10" s="4" t="inlineStr">
        <is>
          <t>—</t>
        </is>
      </c>
      <c r="F10" s="4" t="inlineStr">
        <is>
          <t>Investment Banking Analyst, Full-Time Analyst</t>
        </is>
      </c>
      <c r="G10" s="4" t="inlineStr">
        <is>
          <t>No</t>
        </is>
      </c>
      <c r="H10" s="4" t="n">
        <v>0</v>
      </c>
      <c r="I10" s="4" t="inlineStr">
        <is>
          <t>—</t>
        </is>
      </c>
      <c r="J10" s="4" t="inlineStr">
        <is>
          <t>—</t>
        </is>
      </c>
      <c r="K10" s="4" t="inlineStr">
        <is>
          <t>Direct Website</t>
        </is>
      </c>
      <c r="L10" s="4" t="inlineStr">
        <is>
          <t>High</t>
        </is>
      </c>
      <c r="M10" s="4" t="inlineStr"/>
    </row>
    <row r="11" ht="16" customHeight="1">
      <c r="A11" s="5" t="n">
        <v>8</v>
      </c>
      <c r="B11" s="5" t="inlineStr">
        <is>
          <t>09/01/2026</t>
        </is>
      </c>
      <c r="C11" s="5" t="inlineStr">
        <is>
          <t>19:52</t>
        </is>
      </c>
      <c r="D11" s="5" t="inlineStr">
        <is>
          <t>RBC Capital Markets</t>
        </is>
      </c>
      <c r="E11" s="5" t="inlineStr">
        <is>
          <t>—</t>
        </is>
      </c>
      <c r="F11" s="5" t="inlineStr">
        <is>
          <t>Investment Banking Analyst, Full-Time Analyst</t>
        </is>
      </c>
      <c r="G11" s="5" t="inlineStr">
        <is>
          <t>No</t>
        </is>
      </c>
      <c r="H11" s="5" t="n">
        <v>0</v>
      </c>
      <c r="I11" s="5" t="inlineStr">
        <is>
          <t>—</t>
        </is>
      </c>
      <c r="J11" s="5" t="inlineStr">
        <is>
          <t>—</t>
        </is>
      </c>
      <c r="K11" s="5" t="inlineStr">
        <is>
          <t>Direct Website</t>
        </is>
      </c>
      <c r="L11" s="5" t="inlineStr">
        <is>
          <t>High</t>
        </is>
      </c>
      <c r="M11" s="5" t="inlineStr"/>
    </row>
    <row r="12" ht="16" customHeight="1">
      <c r="A12" s="4" t="n">
        <v>9</v>
      </c>
      <c r="B12" s="4" t="inlineStr">
        <is>
          <t>09/01/2026</t>
        </is>
      </c>
      <c r="C12" s="4" t="inlineStr">
        <is>
          <t>19:52</t>
        </is>
      </c>
      <c r="D12" s="4" t="inlineStr">
        <is>
          <t>Jefferies</t>
        </is>
      </c>
      <c r="E12" s="4" t="inlineStr">
        <is>
          <t>https://hdid.fa.us2.oraclecloud.com/hcmUI/CandidateExperience/en/sites/CX_1/job/4166</t>
        </is>
      </c>
      <c r="F12" s="4" t="inlineStr">
        <is>
          <t>Investment Banking Analyst, Full-Time Analyst</t>
        </is>
      </c>
      <c r="G12" s="4" t="inlineStr">
        <is>
          <t>Yes</t>
        </is>
      </c>
      <c r="H12" s="4" t="n">
        <v>1</v>
      </c>
      <c r="I12" s="4" t="inlineStr">
        <is>
          <t>Investment Banking Analyst – Strategic Finance and Shareholder Engagement &amp; Activism Advisory</t>
        </is>
      </c>
      <c r="J12" s="4" t="inlineStr">
        <is>
          <t>https://hdid.fa.us2.oraclecloud.com/hcmUI/CandidateExperience/en/sites/CX_1/job/4166</t>
        </is>
      </c>
      <c r="K12" s="4" t="inlineStr">
        <is>
          <t>Oracle Cloud HCM</t>
        </is>
      </c>
      <c r="L12" s="4" t="inlineStr">
        <is>
          <t>High</t>
        </is>
      </c>
      <c r="M12" s="4" t="inlineStr"/>
    </row>
    <row r="13" ht="16" customHeight="1">
      <c r="A13" s="5" t="n">
        <v>10</v>
      </c>
      <c r="B13" s="5" t="inlineStr">
        <is>
          <t>09/01/2026</t>
        </is>
      </c>
      <c r="C13" s="5" t="inlineStr">
        <is>
          <t>19:52</t>
        </is>
      </c>
      <c r="D13" s="5" t="inlineStr">
        <is>
          <t>PJT Partners</t>
        </is>
      </c>
      <c r="E13" s="5" t="inlineStr">
        <is>
          <t>—</t>
        </is>
      </c>
      <c r="F13" s="5" t="inlineStr">
        <is>
          <t>Investment Banking Analyst, Full-Time Analyst</t>
        </is>
      </c>
      <c r="G13" s="5" t="inlineStr">
        <is>
          <t>No</t>
        </is>
      </c>
      <c r="H13" s="5" t="n">
        <v>0</v>
      </c>
      <c r="I13" s="5" t="inlineStr">
        <is>
          <t>—</t>
        </is>
      </c>
      <c r="J13" s="5" t="inlineStr">
        <is>
          <t>—</t>
        </is>
      </c>
      <c r="K13" s="5" t="inlineStr">
        <is>
          <t>Direct Website</t>
        </is>
      </c>
      <c r="L13" s="5" t="inlineStr">
        <is>
          <t>High</t>
        </is>
      </c>
      <c r="M13" s="5" t="inlineStr"/>
    </row>
    <row r="14" ht="16" customHeight="1">
      <c r="A14" s="4" t="n">
        <v>11</v>
      </c>
      <c r="B14" s="4" t="inlineStr">
        <is>
          <t>09/01/2026</t>
        </is>
      </c>
      <c r="C14" s="4" t="inlineStr">
        <is>
          <t>19:52</t>
        </is>
      </c>
      <c r="D14" s="4" t="inlineStr">
        <is>
          <t>Moelis &amp; Company</t>
        </is>
      </c>
      <c r="E14" s="4" t="inlineStr">
        <is>
          <t>—</t>
        </is>
      </c>
      <c r="F14" s="4" t="inlineStr">
        <is>
          <t>Investment Banking Analyst, Full-Time Analyst</t>
        </is>
      </c>
      <c r="G14" s="4" t="inlineStr">
        <is>
          <t>No</t>
        </is>
      </c>
      <c r="H14" s="4" t="n">
        <v>0</v>
      </c>
      <c r="I14" s="4" t="inlineStr">
        <is>
          <t>—</t>
        </is>
      </c>
      <c r="J14" s="4" t="inlineStr">
        <is>
          <t>—</t>
        </is>
      </c>
      <c r="K14" s="4" t="inlineStr">
        <is>
          <t>Direct Website</t>
        </is>
      </c>
      <c r="L14" s="4" t="inlineStr">
        <is>
          <t>High</t>
        </is>
      </c>
      <c r="M14" s="4" t="inlineStr"/>
    </row>
    <row r="15" ht="16" customHeight="1">
      <c r="A15" s="5" t="n">
        <v>12</v>
      </c>
      <c r="B15" s="5" t="inlineStr">
        <is>
          <t>09/01/2026</t>
        </is>
      </c>
      <c r="C15" s="5" t="inlineStr">
        <is>
          <t>19:52</t>
        </is>
      </c>
      <c r="D15" s="5" t="inlineStr">
        <is>
          <t>Guggenheim Securities</t>
        </is>
      </c>
      <c r="E15" s="5" t="inlineStr">
        <is>
          <t>https://guggenheim.wd1.myworkdayjobs.com/en-US/Guggenheim_Careers_Campus/job/Richmond-VA--US/XMLNAME-2027-Guggenheim-Securities-Investment-Banking-Analyst---Richmond-Healthcare-Services--Pharma-Services-_14902</t>
        </is>
      </c>
      <c r="F15" s="5" t="inlineStr">
        <is>
          <t>Investment Banking Analyst, Full-Time Analyst</t>
        </is>
      </c>
      <c r="G15" s="5" t="inlineStr">
        <is>
          <t>Yes</t>
        </is>
      </c>
      <c r="H15" s="5" t="n">
        <v>2</v>
      </c>
      <c r="I15" s="5" t="inlineStr">
        <is>
          <t>2027 Guggenheim Securities Investment Banking Analyst - Richmond Healthcare Services (Pharma Services); 2027 Guggenheim Securities Investment Banking Analyst – New York Capital Structure Advisory Group (Restructuring)</t>
        </is>
      </c>
      <c r="J15" s="5" t="inlineStr">
        <is>
          <t>https://guggenheim.wd1.myworkdayjobs.com/en-US/Guggenheim_Careers_Campus/job/Richmond-VA--US/XMLNAME-2027-Guggenheim-Securities-Investment-Banking-Analyst---Richmond-Healthcare-Services--Pharma-Services-_14902; https://guggenheim.wd1.myworkdayjobs.com/en-US/Guggenheim_Careers_Campus/job/New-York-City-NY--US/XMLNAME-2027-Guggenheim-Securities-Investment-Banking-Analyst---New-York-Capital-Structure-Advisory-Group--Restructuring-_14846</t>
        </is>
      </c>
      <c r="K15" s="5" t="inlineStr">
        <is>
          <t>Workday</t>
        </is>
      </c>
      <c r="L15" s="5" t="inlineStr">
        <is>
          <t>High</t>
        </is>
      </c>
      <c r="M15" s="5" t="inlineStr"/>
    </row>
    <row r="16" ht="16" customHeight="1">
      <c r="A16" s="4" t="n">
        <v>13</v>
      </c>
      <c r="B16" s="4" t="inlineStr">
        <is>
          <t>09/01/2026</t>
        </is>
      </c>
      <c r="C16" s="4" t="inlineStr">
        <is>
          <t>19:52</t>
        </is>
      </c>
      <c r="D16" s="4" t="inlineStr">
        <is>
          <t>Perella Weinberg Partners</t>
        </is>
      </c>
      <c r="E16" s="4" t="inlineStr">
        <is>
          <t>—</t>
        </is>
      </c>
      <c r="F16" s="4" t="inlineStr">
        <is>
          <t>Investment Banking Analyst, Full-Time Analyst</t>
        </is>
      </c>
      <c r="G16" s="4" t="inlineStr">
        <is>
          <t>No</t>
        </is>
      </c>
      <c r="H16" s="4" t="n">
        <v>0</v>
      </c>
      <c r="I16" s="4" t="inlineStr">
        <is>
          <t>—</t>
        </is>
      </c>
      <c r="J16" s="4" t="inlineStr">
        <is>
          <t>—</t>
        </is>
      </c>
      <c r="K16" s="4" t="inlineStr">
        <is>
          <t>Direct Website</t>
        </is>
      </c>
      <c r="L16" s="4" t="inlineStr">
        <is>
          <t>High</t>
        </is>
      </c>
      <c r="M16" s="4" t="inlineStr"/>
    </row>
    <row r="17" ht="16" customHeight="1">
      <c r="A17" s="5" t="n">
        <v>14</v>
      </c>
      <c r="B17" s="5" t="inlineStr">
        <is>
          <t>09/01/2026</t>
        </is>
      </c>
      <c r="C17" s="5" t="inlineStr">
        <is>
          <t>19:52</t>
        </is>
      </c>
      <c r="D17" s="5" t="inlineStr">
        <is>
          <t>Rothschild &amp; Co</t>
        </is>
      </c>
      <c r="E17" s="5" t="inlineStr">
        <is>
          <t>—</t>
        </is>
      </c>
      <c r="F17" s="5" t="inlineStr">
        <is>
          <t>Investment Banking Analyst, Full-Time Analyst</t>
        </is>
      </c>
      <c r="G17" s="5" t="inlineStr">
        <is>
          <t>No</t>
        </is>
      </c>
      <c r="H17" s="5" t="n">
        <v>0</v>
      </c>
      <c r="I17" s="5" t="inlineStr">
        <is>
          <t>—</t>
        </is>
      </c>
      <c r="J17" s="5" t="inlineStr">
        <is>
          <t>—</t>
        </is>
      </c>
      <c r="K17" s="5" t="inlineStr">
        <is>
          <t>Direct Website</t>
        </is>
      </c>
      <c r="L17" s="5" t="inlineStr">
        <is>
          <t>High</t>
        </is>
      </c>
      <c r="M17" s="5" t="inlineStr"/>
    </row>
    <row r="18" ht="16" customHeight="1">
      <c r="A18" s="4" t="n">
        <v>15</v>
      </c>
      <c r="B18" s="4" t="inlineStr">
        <is>
          <t>09/01/2026</t>
        </is>
      </c>
      <c r="C18" s="4" t="inlineStr">
        <is>
          <t>19:52</t>
        </is>
      </c>
      <c r="D18" s="4" t="inlineStr">
        <is>
          <t>Lazard</t>
        </is>
      </c>
      <c r="E18" s="4" t="inlineStr">
        <is>
          <t>https://icbpjb.fa.ocs.oraclecloud.com/hcmUI/CandidateExperience/en/sites/CX_1/job/6406</t>
        </is>
      </c>
      <c r="F18" s="4" t="inlineStr">
        <is>
          <t>Investment Banking Analyst, Full-Time Analyst</t>
        </is>
      </c>
      <c r="G18" s="4" t="inlineStr">
        <is>
          <t>Yes</t>
        </is>
      </c>
      <c r="H18" s="4" t="n">
        <v>1</v>
      </c>
      <c r="I18" s="4" t="inlineStr">
        <is>
          <t>Equity Research Analyst - US Healthcare</t>
        </is>
      </c>
      <c r="J18" s="4" t="inlineStr">
        <is>
          <t>https://icbpjb.fa.ocs.oraclecloud.com/hcmUI/CandidateExperience/en/sites/CX_1/job/6406</t>
        </is>
      </c>
      <c r="K18" s="4" t="inlineStr">
        <is>
          <t>Oracle Cloud HCM</t>
        </is>
      </c>
      <c r="L18" s="4" t="inlineStr">
        <is>
          <t>High</t>
        </is>
      </c>
      <c r="M18" s="4" t="inlineStr"/>
    </row>
    <row r="19" ht="16" customHeight="1">
      <c r="A19" s="5" t="n">
        <v>16</v>
      </c>
      <c r="B19" s="5" t="inlineStr">
        <is>
          <t>09/01/2026</t>
        </is>
      </c>
      <c r="C19" s="5" t="inlineStr">
        <is>
          <t>19:53</t>
        </is>
      </c>
      <c r="D19" s="5" t="inlineStr">
        <is>
          <t>Houlihan Lokey</t>
        </is>
      </c>
      <c r="E19" s="5" t="inlineStr">
        <is>
          <t>https://hl.wd1.myworkdayjobs.com/en-US/Lateral/job/Los-Angeles-CA-USA/Investment-Banking-Senior-Analyst---Industrials_R3347</t>
        </is>
      </c>
      <c r="F19" s="5" t="inlineStr">
        <is>
          <t>Investment Banking Analyst, Full-Time Analyst</t>
        </is>
      </c>
      <c r="G19" s="5" t="inlineStr">
        <is>
          <t>Yes</t>
        </is>
      </c>
      <c r="H19" s="5" t="n">
        <v>4</v>
      </c>
      <c r="I19" s="5" t="inlineStr">
        <is>
          <t>Investment Banking Analyst | Aerospace &amp; Defense; Investment Banking Senior Analyst | Industrials; Investment Banking Senior Analyst | Financial Services; Investment Banking Senior Analyst | Business Services</t>
        </is>
      </c>
      <c r="J19" s="5" t="inlineStr">
        <is>
          <t>https://hl.wd1.myworkdayjobs.com/en-US/Lateral/job/Los-Angeles-CA-USA/Investment-Banking-Senior-Analyst---Industrials_R3347; https://hl.wd1.myworkdayjobs.com/en-US/Lateral/job/Washington-DC-VA-USA/Investment-Banking-Senior-Analyst---Industrials_R3465; https://hl.wd1.myworkdayjobs.com/en-US/Lateral/job/New-York-NY-USA/Investment-Banking-Senior-Analyst---Financial-Services_R3027; https://hl.wd1.myworkdayjobs.com/en-US/Lateral/job/Los-Angeles-CA-USA/Investment-Banking-Senior-Analyst---Business-Services_R3126</t>
        </is>
      </c>
      <c r="K19" s="5" t="inlineStr">
        <is>
          <t>Workday</t>
        </is>
      </c>
      <c r="L19" s="5" t="inlineStr">
        <is>
          <t>High</t>
        </is>
      </c>
      <c r="M19" s="5" t="inlineStr"/>
    </row>
    <row r="20" ht="16" customHeight="1">
      <c r="A20" s="4" t="n">
        <v>17</v>
      </c>
      <c r="B20" s="4" t="inlineStr">
        <is>
          <t>09/01/2026</t>
        </is>
      </c>
      <c r="C20" s="4" t="inlineStr">
        <is>
          <t>19:53</t>
        </is>
      </c>
      <c r="D20" s="4" t="inlineStr">
        <is>
          <t>Piper Sandler</t>
        </is>
      </c>
      <c r="E20" s="4" t="inlineStr">
        <is>
          <t>https://pipersandler.wd501.myworkdayjobs.com/en-US/Piper_Sandler_Careers/job/Atlanta-GA/Investment-Banking-Analyst_R-100645-1</t>
        </is>
      </c>
      <c r="F20" s="4" t="inlineStr">
        <is>
          <t>Investment Banking Analyst, Full-Time Analyst</t>
        </is>
      </c>
      <c r="G20" s="4" t="inlineStr">
        <is>
          <t>Yes</t>
        </is>
      </c>
      <c r="H20" s="4" t="n">
        <v>9</v>
      </c>
      <c r="I20" s="4" t="inlineStr">
        <is>
          <t>Investment Banking Analyst; Investment Banking Analyst - ECM; 2027 Investment Banking Analyst – Technology; Public Finance Investment Banking Analyst; 2027 Investment Banking Analyst - Boston Technology; Campus Recruiting - 2027 Investment Banking Analyst - Chemicals; Campus Recruiting - 2027 Investment Banking Analyst - Healthcare; 2027 Investment Banking Analyst – Energy, Power &amp; Infrastructure (Upstream); Campus Recruiting - 2027 Investment Banking Analyst - Secondary Capital Advisory</t>
        </is>
      </c>
      <c r="J20" s="4" t="inlineStr">
        <is>
          <t>https://pipersandler.wd501.myworkdayjobs.com/en-US/Piper_Sandler_Careers/job/Atlanta-GA/Investment-Banking-Analyst_R-100645-1; https://pipersandler.wd501.myworkdayjobs.com/en-US/Piper_Sandler_Careers/job/Minneapolis-MN---HQ/Investment-Banking-Analyst---ECM_R-100609; https://pipersandler.wd501.myworkdayjobs.com/en-US/Piper_Sandler_Careers/job/San-Francisco-CA/XMLNAME-2027-Investment-Banking-Analyst---Technology_R-100634; https://pipersandler.wd501.myworkdayjobs.com/en-US/Piper_Sandler_Careers/job/Leawood-KS/Public-Finance-Investment-Banking-Analyst_R-100601-1; https://pipersandler.wd501.myworkdayjobs.com/en-US/Piper_Sandler_Careers/job/Boston-MA/XMLNAME-2027-Investment-Banking-Analyst---Boston-Technology_R-100654; https://pipersandler.wd501.myworkdayjobs.com/en-US/Piper_Sandler_Careers/job/New-York-NY/Investment-Banking-Analyst---Chemicals_R-100667; https://pipersandler.wd501.myworkdayjobs.com/en-US/Piper_Sandler_Careers/job/New-York-NY/Campus-Recruiting---2027-Investment-Banking-Analyst---Healthcare_R-100668; https://pipersandler.wd501.myworkdayjobs.com/en-US/Piper_Sandler_Careers/job/Houston-4-TX-Main-Street/XMLNAME-2027-Investment-Banking-Analyst---Energy--Power---Infrastructure_R-100633; https://pipersandler.wd501.myworkdayjobs.com/en-US/Piper_Sandler_Careers/job/New-York-NY/Campus-Recruiting---2027-Investment-Banking-Analyst---Secondary-Capital-Advisory_R-100673</t>
        </is>
      </c>
      <c r="K20" s="4" t="inlineStr">
        <is>
          <t>Workday</t>
        </is>
      </c>
      <c r="L20" s="4" t="inlineStr">
        <is>
          <t>High</t>
        </is>
      </c>
      <c r="M20" s="4" t="inlineStr"/>
    </row>
    <row r="21" ht="16" customHeight="1">
      <c r="A21" s="5" t="n">
        <v>18</v>
      </c>
      <c r="B21" s="5" t="inlineStr">
        <is>
          <t>09/01/2026</t>
        </is>
      </c>
      <c r="C21" s="5" t="inlineStr">
        <is>
          <t>19:53</t>
        </is>
      </c>
      <c r="D21" s="5" t="inlineStr">
        <is>
          <t>TD Cowen</t>
        </is>
      </c>
      <c r="E21" s="5" t="inlineStr">
        <is>
          <t>—</t>
        </is>
      </c>
      <c r="F21" s="5" t="inlineStr">
        <is>
          <t>Investment Banking Analyst, Full-Time Analyst</t>
        </is>
      </c>
      <c r="G21" s="5" t="inlineStr">
        <is>
          <t>No</t>
        </is>
      </c>
      <c r="H21" s="5" t="n">
        <v>0</v>
      </c>
      <c r="I21" s="5" t="inlineStr">
        <is>
          <t>—</t>
        </is>
      </c>
      <c r="J21" s="5" t="inlineStr">
        <is>
          <t>—</t>
        </is>
      </c>
      <c r="K21" s="5" t="inlineStr">
        <is>
          <t>Direct Website</t>
        </is>
      </c>
      <c r="L21" s="5" t="inlineStr">
        <is>
          <t>High</t>
        </is>
      </c>
      <c r="M21" s="5" t="inlineStr"/>
    </row>
    <row r="22" ht="16" customHeight="1">
      <c r="A22" s="4" t="n">
        <v>19</v>
      </c>
      <c r="B22" s="4" t="inlineStr">
        <is>
          <t>09/01/2026</t>
        </is>
      </c>
      <c r="C22" s="4" t="inlineStr">
        <is>
          <t>19:53</t>
        </is>
      </c>
      <c r="D22" s="4" t="inlineStr">
        <is>
          <t>Lincoln International</t>
        </is>
      </c>
      <c r="E22" s="4" t="inlineStr">
        <is>
          <t>http://www.lincolninternational.com/greenhouse/?gh_jid=8060090</t>
        </is>
      </c>
      <c r="F22" s="4" t="inlineStr">
        <is>
          <t>Investment Banking Analyst, Full-Time Analyst</t>
        </is>
      </c>
      <c r="G22" s="4" t="inlineStr">
        <is>
          <t>Yes</t>
        </is>
      </c>
      <c r="H22" s="4" t="n">
        <v>1</v>
      </c>
      <c r="I22" s="4" t="inlineStr">
        <is>
          <t xml:space="preserve">2027 Full-Time Analyst, Valuations &amp; Opinions Group </t>
        </is>
      </c>
      <c r="J22" s="4" t="inlineStr">
        <is>
          <t>http://www.lincolninternational.com/greenhouse/?gh_jid=8060090</t>
        </is>
      </c>
      <c r="K22" s="4" t="inlineStr">
        <is>
          <t>Greenhouse</t>
        </is>
      </c>
      <c r="L22" s="4" t="inlineStr">
        <is>
          <t>High</t>
        </is>
      </c>
      <c r="M22" s="4" t="inlineStr"/>
    </row>
    <row r="23" ht="16" customHeight="1">
      <c r="A23" s="5" t="n">
        <v>20</v>
      </c>
      <c r="B23" s="5" t="inlineStr">
        <is>
          <t>09/01/2026</t>
        </is>
      </c>
      <c r="C23" s="5" t="inlineStr">
        <is>
          <t>19:53</t>
        </is>
      </c>
      <c r="D23" s="5" t="inlineStr">
        <is>
          <t>Solomon Partners</t>
        </is>
      </c>
      <c r="E23" s="5" t="inlineStr">
        <is>
          <t>https://job-boards.greenhouse.io/solomonpartnersprofessionals/jobs/4659234006</t>
        </is>
      </c>
      <c r="F23" s="5" t="inlineStr">
        <is>
          <t>Investment Banking Analyst, Full-Time Analyst</t>
        </is>
      </c>
      <c r="G23" s="5" t="inlineStr">
        <is>
          <t>Yes</t>
        </is>
      </c>
      <c r="H23" s="5" t="n">
        <v>1</v>
      </c>
      <c r="I23" s="5" t="inlineStr">
        <is>
          <t xml:space="preserve"> Investment Banking - Senior Analyst (Technology)</t>
        </is>
      </c>
      <c r="J23" s="5" t="inlineStr">
        <is>
          <t>https://job-boards.greenhouse.io/solomonpartnersprofessionals/jobs/4659234006</t>
        </is>
      </c>
      <c r="K23" s="5" t="inlineStr">
        <is>
          <t>Greenhouse</t>
        </is>
      </c>
      <c r="L23" s="5" t="inlineStr">
        <is>
          <t>High</t>
        </is>
      </c>
      <c r="M23" s="5" t="inlineStr"/>
    </row>
    <row r="24" ht="16" customHeight="1">
      <c r="A24" s="4" t="n">
        <v>21</v>
      </c>
      <c r="B24" s="4" t="inlineStr">
        <is>
          <t>09/01/2026</t>
        </is>
      </c>
      <c r="C24" s="4" t="inlineStr">
        <is>
          <t>19:53</t>
        </is>
      </c>
      <c r="D24" s="4" t="inlineStr">
        <is>
          <t>Stifel</t>
        </is>
      </c>
      <c r="E24" s="4" t="inlineStr">
        <is>
          <t>—</t>
        </is>
      </c>
      <c r="F24" s="4" t="inlineStr">
        <is>
          <t>Investment Banking Analyst, Full-Time Analyst</t>
        </is>
      </c>
      <c r="G24" s="4" t="inlineStr">
        <is>
          <t>No</t>
        </is>
      </c>
      <c r="H24" s="4" t="n">
        <v>0</v>
      </c>
      <c r="I24" s="4" t="inlineStr">
        <is>
          <t>—</t>
        </is>
      </c>
      <c r="J24" s="4" t="inlineStr">
        <is>
          <t>—</t>
        </is>
      </c>
      <c r="K24" s="4" t="inlineStr">
        <is>
          <t>Direct Website</t>
        </is>
      </c>
      <c r="L24" s="4" t="inlineStr">
        <is>
          <t>High</t>
        </is>
      </c>
      <c r="M24" s="4" t="inlineStr"/>
    </row>
    <row r="25" ht="16" customHeight="1">
      <c r="A25" s="5" t="n">
        <v>22</v>
      </c>
      <c r="B25" s="5" t="inlineStr">
        <is>
          <t>09/01/2026</t>
        </is>
      </c>
      <c r="C25" s="5" t="inlineStr">
        <is>
          <t>19:53</t>
        </is>
      </c>
      <c r="D25" s="5" t="inlineStr">
        <is>
          <t>Leerink Partners</t>
        </is>
      </c>
      <c r="E25" s="5" t="inlineStr">
        <is>
          <t>https://leerink.wd5.myworkdayjobs.com/en-US/leerinkpartners/job/USA-NY-New-York/Investment-Banking-ECM-Analyst_R00662</t>
        </is>
      </c>
      <c r="F25" s="5" t="inlineStr">
        <is>
          <t>Investment Banking Analyst, Full-Time Analyst</t>
        </is>
      </c>
      <c r="G25" s="5" t="inlineStr">
        <is>
          <t>Yes</t>
        </is>
      </c>
      <c r="H25" s="5" t="n">
        <v>2</v>
      </c>
      <c r="I25" s="5" t="inlineStr">
        <is>
          <t>Investment Banking ECM Analyst; Investment Banking Analyst</t>
        </is>
      </c>
      <c r="J25" s="5" t="inlineStr">
        <is>
          <t>https://leerink.wd5.myworkdayjobs.com/en-US/leerinkpartners/job/USA-NY-New-York/Investment-Banking-ECM-Analyst_R00662; https://leerink.wd5.myworkdayjobs.com/en-US/leerinkpartners/job/USA-CA-Santa-Monica/Investment-Banking-Analyst_R00661</t>
        </is>
      </c>
      <c r="K25" s="5" t="inlineStr">
        <is>
          <t>Workday</t>
        </is>
      </c>
      <c r="L25" s="5" t="inlineStr">
        <is>
          <t>High</t>
        </is>
      </c>
      <c r="M25" s="5" t="inlineStr"/>
    </row>
    <row r="26" ht="16" customHeight="1">
      <c r="A26" s="4" t="n">
        <v>23</v>
      </c>
      <c r="B26" s="4" t="inlineStr">
        <is>
          <t>09/01/2026</t>
        </is>
      </c>
      <c r="C26" s="4" t="inlineStr">
        <is>
          <t>19:53</t>
        </is>
      </c>
      <c r="D26" s="4" t="inlineStr">
        <is>
          <t>Macquarie</t>
        </is>
      </c>
      <c r="E26" s="4" t="inlineStr">
        <is>
          <t>—</t>
        </is>
      </c>
      <c r="F26" s="4" t="inlineStr">
        <is>
          <t>Investment Banking Analyst, Full-Time Analyst</t>
        </is>
      </c>
      <c r="G26" s="4" t="inlineStr">
        <is>
          <t>No</t>
        </is>
      </c>
      <c r="H26" s="4" t="n">
        <v>0</v>
      </c>
      <c r="I26" s="4" t="inlineStr">
        <is>
          <t>—</t>
        </is>
      </c>
      <c r="J26" s="4" t="inlineStr">
        <is>
          <t>—</t>
        </is>
      </c>
      <c r="K26" s="4" t="inlineStr">
        <is>
          <t>Direct Website</t>
        </is>
      </c>
      <c r="L26" s="4" t="inlineStr">
        <is>
          <t>High</t>
        </is>
      </c>
      <c r="M26" s="4" t="inlineStr"/>
    </row>
    <row r="27" ht="16" customHeight="1">
      <c r="A27" s="5" t="n">
        <v>24</v>
      </c>
      <c r="B27" s="5" t="inlineStr">
        <is>
          <t>09/01/2026</t>
        </is>
      </c>
      <c r="C27" s="5" t="inlineStr">
        <is>
          <t>19:53</t>
        </is>
      </c>
      <c r="D27" s="5" t="inlineStr">
        <is>
          <t>Mizuho (+ Greenhill)</t>
        </is>
      </c>
      <c r="E27" s="5" t="inlineStr">
        <is>
          <t>https://mizuho.wd1.myworkdayjobs.com/en-US/mizuhoamericas/job/New-York-NY-1271-AOA6th-Ave/Mizuho---Greenhill---Investment-Banking-M-A-Analyst_R7138</t>
        </is>
      </c>
      <c r="F27" s="5" t="inlineStr">
        <is>
          <t>Investment Banking Analyst, Full-Time Analyst</t>
        </is>
      </c>
      <c r="G27" s="5" t="inlineStr">
        <is>
          <t>Yes</t>
        </is>
      </c>
      <c r="H27" s="5" t="n">
        <v>2</v>
      </c>
      <c r="I27" s="5" t="inlineStr">
        <is>
          <t>Mizuho | Greenhill - Investment Banking M&amp;A Analyst; Investment &amp; Corporate Banking - Financial Sponsors &amp; Strategic Solutions Group (FS&amp;SSG) – Analyst</t>
        </is>
      </c>
      <c r="J27" s="5" t="inlineStr">
        <is>
          <t>https://mizuho.wd1.myworkdayjobs.com/en-US/mizuhoamericas/job/New-York-NY-1271-AOA6th-Ave/Mizuho---Greenhill---Investment-Banking-M-A-Analyst_R7138; https://mizuho.wd1.myworkdayjobs.com/en-US/mizuhoamericas/job/New-York-NY-1271-AOA6th-Ave/Investment---Corporate-Banking---Financial-Sponsors---Strategic-Solutions-Group--FS-SSG----Analyst_R6766-1</t>
        </is>
      </c>
      <c r="K27" s="5" t="inlineStr">
        <is>
          <t>Workday</t>
        </is>
      </c>
      <c r="L27" s="5" t="inlineStr">
        <is>
          <t>High</t>
        </is>
      </c>
      <c r="M27" s="5" t="inlineStr"/>
    </row>
    <row r="28" ht="16" customHeight="1">
      <c r="A28" s="4" t="n">
        <v>25</v>
      </c>
      <c r="B28" s="4" t="inlineStr">
        <is>
          <t>09/01/2026</t>
        </is>
      </c>
      <c r="C28" s="4" t="inlineStr">
        <is>
          <t>19:53</t>
        </is>
      </c>
      <c r="D28" s="4" t="inlineStr">
        <is>
          <t>HSBC</t>
        </is>
      </c>
      <c r="E28" s="4" t="inlineStr">
        <is>
          <t>—</t>
        </is>
      </c>
      <c r="F28" s="4" t="inlineStr">
        <is>
          <t>Investment Banking Analyst, Full-Time Analyst</t>
        </is>
      </c>
      <c r="G28" s="4" t="inlineStr">
        <is>
          <t>No</t>
        </is>
      </c>
      <c r="H28" s="4" t="n">
        <v>0</v>
      </c>
      <c r="I28" s="4" t="inlineStr">
        <is>
          <t>—</t>
        </is>
      </c>
      <c r="J28" s="4" t="inlineStr">
        <is>
          <t>—</t>
        </is>
      </c>
      <c r="K28" s="4" t="inlineStr">
        <is>
          <t>Direct Website</t>
        </is>
      </c>
      <c r="L28" s="4" t="inlineStr">
        <is>
          <t>High</t>
        </is>
      </c>
      <c r="M28" s="4" t="inlineStr"/>
    </row>
    <row r="29" ht="16" customHeight="1">
      <c r="A29" s="5" t="n">
        <v>26</v>
      </c>
      <c r="B29" s="5" t="inlineStr">
        <is>
          <t>09/01/2026</t>
        </is>
      </c>
      <c r="C29" s="5" t="inlineStr">
        <is>
          <t>19:53</t>
        </is>
      </c>
      <c r="D29" s="5" t="inlineStr">
        <is>
          <t>MUFG</t>
        </is>
      </c>
      <c r="E29" s="5" t="inlineStr">
        <is>
          <t>https://mufgub.wd3.myworkdayjobs.com/en-US/MUFG-Careers/job/Nashville-TN/Investment-Banking-Analyst---Healthcare_10075617-WD-1</t>
        </is>
      </c>
      <c r="F29" s="5" t="inlineStr">
        <is>
          <t>Investment Banking Analyst, Full-Time Analyst</t>
        </is>
      </c>
      <c r="G29" s="5" t="inlineStr">
        <is>
          <t>Yes</t>
        </is>
      </c>
      <c r="H29" s="5" t="n">
        <v>6</v>
      </c>
      <c r="I29" s="5" t="inlineStr">
        <is>
          <t>Investment Banking Analyst - Healthcare; Investment Banking Analyst - Charlotte - Intrepid (Full-Time 2027); Investment Banking Analyst - Nashville - Intrepid (Full-Time 2027); Investment Banking Analyst - New York -  Intrepid (Full-Time 2027); Investment Banking Analyst - Los Angeles - Intrepid (Full-Time 2027); 2027 Corporate, Investment Banking and Markets (CIB&amp;M) Full-Time Analyst Program – Sponsor Finance &amp; Direct Lending | New York</t>
        </is>
      </c>
      <c r="J29" s="5" t="inlineStr">
        <is>
          <t>https://mufgub.wd3.myworkdayjobs.com/en-US/MUFG-Careers/job/Nashville-TN/Investment-Banking-Analyst---Healthcare_10075617-WD-1; https://mufgub.wd3.myworkdayjobs.com/en-US/MUFG-Careers/job/Charlotte-NC/Investment-Banking-Analyst---Charlotte---Intrepid--Full-Time-2027-_10078773-WD; https://mufgub.wd3.myworkdayjobs.com/en-US/MUFG-Careers/job/Nashville-TN/Investment-Banking-Analyst---Nashville---Intrepid--Full-Time-2027-_10078947-WD; https://mufgub.wd3.myworkdayjobs.com/en-US/MUFG-Careers/job/New-York-NY/Investment-Banking-Analyst---New-York----Intrepid--Full-Time-2027-_10078813-WD; https://mufgub.wd3.myworkdayjobs.com/en-US/MUFG-Careers/job/Los-Angeles-CA/Investment-Banking-Analyst---Los-Angeles---Intrepid--Full-Time-2027-_10078814-WD; https://mufgub.wd3.myworkdayjobs.com/en-US/MUFG-Careers/job/New-York-NY/XMLNAME-2027-Corporate--Investment-Banking-and-Markets--CIB-M--Full-Time-Analyst-Program---Sponsor-Finance---Direct-Lending---New-York_10079135-WD-1</t>
        </is>
      </c>
      <c r="K29" s="5" t="inlineStr">
        <is>
          <t>Workday</t>
        </is>
      </c>
      <c r="L29" s="5" t="inlineStr">
        <is>
          <t>High</t>
        </is>
      </c>
      <c r="M29" s="5" t="inlineStr"/>
    </row>
    <row r="30" ht="16" customHeight="1">
      <c r="A30" s="4" t="n">
        <v>27</v>
      </c>
      <c r="B30" s="4" t="inlineStr">
        <is>
          <t>09/01/2026</t>
        </is>
      </c>
      <c r="C30" s="4" t="inlineStr">
        <is>
          <t>19:53</t>
        </is>
      </c>
      <c r="D30" s="4" t="inlineStr">
        <is>
          <t>Scotiabank</t>
        </is>
      </c>
      <c r="E30" s="4" t="inlineStr">
        <is>
          <t>https://jobs.scotiabank.com/job/New-York-City-Analyst%2C-Corporate-Finance-Advisory-NY-10281/603574617/</t>
        </is>
      </c>
      <c r="F30" s="4" t="inlineStr">
        <is>
          <t>Investment Banking Analyst, Full-Time Analyst</t>
        </is>
      </c>
      <c r="G30" s="4" t="inlineStr">
        <is>
          <t>Yes</t>
        </is>
      </c>
      <c r="H30" s="4" t="n">
        <v>3</v>
      </c>
      <c r="I30" s="4" t="inlineStr">
        <is>
          <t>Analyst, Corporate Finance Advisory (New York City, NY, US, 10281); Senior Analyst, Investment Banking, Mergers &amp; Acquisitions (New York City, NY, US, 10281); Analyst, Mortgage Capital Markets, Global Capital Markets (Houston, TX, US, 77002)</t>
        </is>
      </c>
      <c r="J30" s="4" t="inlineStr">
        <is>
          <t>https://jobs.scotiabank.com/job/New-York-City-Analyst%2C-Corporate-Finance-Advisory-NY-10281/603574617/; https://jobs.scotiabank.com/job/New-York-City-Senior-Analyst%2C-Investment-Banking%2C-Mergers-&amp;-Acquisitions-NY-10281/601812217/; https://jobs.scotiabank.com/job/Houston-Analyst%2C-Mortgage-Capital-Markets%2C-Global-Capital-Markets-TX-77002/592295317/</t>
        </is>
      </c>
      <c r="K30" s="4" t="inlineStr">
        <is>
          <t>RSS Feed</t>
        </is>
      </c>
      <c r="L30" s="4" t="inlineStr">
        <is>
          <t>High</t>
        </is>
      </c>
      <c r="M30" s="4" t="inlineStr"/>
    </row>
    <row r="31" ht="16" customHeight="1">
      <c r="A31" s="5" t="n">
        <v>28</v>
      </c>
      <c r="B31" s="5" t="inlineStr">
        <is>
          <t>09/01/2026</t>
        </is>
      </c>
      <c r="C31" s="5" t="inlineStr">
        <is>
          <t>19:53</t>
        </is>
      </c>
      <c r="D31" s="5" t="inlineStr">
        <is>
          <t>Alvarez &amp; Marsal</t>
        </is>
      </c>
      <c r="E31" s="5" t="inlineStr">
        <is>
          <t>—</t>
        </is>
      </c>
      <c r="F31" s="5" t="inlineStr">
        <is>
          <t>Investment Banking Analyst, Full-Time Analyst</t>
        </is>
      </c>
      <c r="G31" s="5" t="inlineStr">
        <is>
          <t>No</t>
        </is>
      </c>
      <c r="H31" s="5" t="n">
        <v>0</v>
      </c>
      <c r="I31" s="5" t="inlineStr">
        <is>
          <t>—</t>
        </is>
      </c>
      <c r="J31" s="5" t="inlineStr">
        <is>
          <t>—</t>
        </is>
      </c>
      <c r="K31" s="5" t="inlineStr">
        <is>
          <t>Direct Website</t>
        </is>
      </c>
      <c r="L31" s="5" t="inlineStr">
        <is>
          <t>High</t>
        </is>
      </c>
      <c r="M31" s="5" t="inlineStr"/>
    </row>
    <row r="32" ht="16" customHeight="1">
      <c r="A32" s="4" t="n">
        <v>29</v>
      </c>
      <c r="B32" s="4" t="inlineStr">
        <is>
          <t>09/01/2026</t>
        </is>
      </c>
      <c r="C32" s="4" t="inlineStr">
        <is>
          <t>19:53</t>
        </is>
      </c>
      <c r="D32" s="4" t="inlineStr">
        <is>
          <t>Ankura</t>
        </is>
      </c>
      <c r="E32" s="4" t="inlineStr">
        <is>
          <t>—</t>
        </is>
      </c>
      <c r="F32" s="4" t="inlineStr">
        <is>
          <t>Investment Banking Analyst, Full-Time Analyst</t>
        </is>
      </c>
      <c r="G32" s="4" t="inlineStr">
        <is>
          <t>No</t>
        </is>
      </c>
      <c r="H32" s="4" t="n">
        <v>0</v>
      </c>
      <c r="I32" s="4" t="inlineStr">
        <is>
          <t>—</t>
        </is>
      </c>
      <c r="J32" s="4" t="inlineStr">
        <is>
          <t>—</t>
        </is>
      </c>
      <c r="K32" s="4" t="inlineStr">
        <is>
          <t>Direct Website</t>
        </is>
      </c>
      <c r="L32" s="4" t="inlineStr">
        <is>
          <t>High</t>
        </is>
      </c>
      <c r="M32" s="4" t="inlineStr"/>
    </row>
    <row r="33" ht="16" customHeight="1">
      <c r="A33" s="5" t="n">
        <v>30</v>
      </c>
      <c r="B33" s="5" t="inlineStr">
        <is>
          <t>09/01/2026</t>
        </is>
      </c>
      <c r="C33" s="5" t="inlineStr">
        <is>
          <t>19:54</t>
        </is>
      </c>
      <c r="D33" s="5" t="inlineStr">
        <is>
          <t>Harris Williams</t>
        </is>
      </c>
      <c r="E33" s="5" t="inlineStr">
        <is>
          <t>—</t>
        </is>
      </c>
      <c r="F33" s="5" t="inlineStr">
        <is>
          <t>Investment Banking Analyst, Full-Time Analyst</t>
        </is>
      </c>
      <c r="G33" s="5" t="inlineStr">
        <is>
          <t>No</t>
        </is>
      </c>
      <c r="H33" s="5" t="n">
        <v>0</v>
      </c>
      <c r="I33" s="5" t="inlineStr">
        <is>
          <t>—</t>
        </is>
      </c>
      <c r="J33" s="5" t="inlineStr">
        <is>
          <t>—</t>
        </is>
      </c>
      <c r="K33" s="5" t="inlineStr">
        <is>
          <t>Direct Website</t>
        </is>
      </c>
      <c r="L33" s="5" t="inlineStr">
        <is>
          <t>High</t>
        </is>
      </c>
      <c r="M33" s="5" t="inlineStr"/>
    </row>
    <row r="34" ht="16" customHeight="1">
      <c r="A34" s="4" t="n">
        <v>31</v>
      </c>
      <c r="B34" s="4" t="inlineStr">
        <is>
          <t>09/01/2026</t>
        </is>
      </c>
      <c r="C34" s="4" t="inlineStr">
        <is>
          <t>19:54</t>
        </is>
      </c>
      <c r="D34" s="4" t="inlineStr">
        <is>
          <t>Portage Point</t>
        </is>
      </c>
      <c r="E34" s="4" t="inlineStr">
        <is>
          <t>—</t>
        </is>
      </c>
      <c r="F34" s="4" t="inlineStr">
        <is>
          <t>Investment Banking Analyst, Full-Time Analyst</t>
        </is>
      </c>
      <c r="G34" s="4" t="inlineStr">
        <is>
          <t>No</t>
        </is>
      </c>
      <c r="H34" s="4" t="n">
        <v>0</v>
      </c>
      <c r="I34" s="4" t="inlineStr">
        <is>
          <t>—</t>
        </is>
      </c>
      <c r="J34" s="4" t="inlineStr">
        <is>
          <t>—</t>
        </is>
      </c>
      <c r="K34" s="4" t="inlineStr">
        <is>
          <t>Direct Website</t>
        </is>
      </c>
      <c r="L34" s="4" t="inlineStr">
        <is>
          <t>High</t>
        </is>
      </c>
      <c r="M34" s="4" t="inlineStr"/>
    </row>
    <row r="35" ht="16" customHeight="1">
      <c r="A35" s="5" t="n">
        <v>32</v>
      </c>
      <c r="B35" s="5" t="inlineStr">
        <is>
          <t>09/01/2026</t>
        </is>
      </c>
      <c r="C35" s="5" t="inlineStr">
        <is>
          <t>19:54</t>
        </is>
      </c>
      <c r="D35" s="5" t="inlineStr">
        <is>
          <t>Accordion</t>
        </is>
      </c>
      <c r="E35" s="5" t="inlineStr">
        <is>
          <t>—</t>
        </is>
      </c>
      <c r="F35" s="5" t="inlineStr">
        <is>
          <t>Investment Banking Analyst, Full-Time Analyst</t>
        </is>
      </c>
      <c r="G35" s="5" t="inlineStr">
        <is>
          <t>No</t>
        </is>
      </c>
      <c r="H35" s="5" t="n">
        <v>0</v>
      </c>
      <c r="I35" s="5" t="inlineStr">
        <is>
          <t>—</t>
        </is>
      </c>
      <c r="J35" s="5" t="inlineStr">
        <is>
          <t>—</t>
        </is>
      </c>
      <c r="K35" s="5" t="inlineStr">
        <is>
          <t>Direct Website</t>
        </is>
      </c>
      <c r="L35" s="5" t="inlineStr">
        <is>
          <t>High</t>
        </is>
      </c>
      <c r="M35" s="5" t="inlineStr"/>
    </row>
    <row r="36" ht="16" customHeight="1">
      <c r="A36" s="4" t="n">
        <v>33</v>
      </c>
      <c r="B36" s="4" t="inlineStr">
        <is>
          <t>09/01/2026</t>
        </is>
      </c>
      <c r="C36" s="4" t="inlineStr">
        <is>
          <t>19:54</t>
        </is>
      </c>
      <c r="D36" s="4" t="inlineStr">
        <is>
          <t>Kroll</t>
        </is>
      </c>
      <c r="E36" s="4" t="inlineStr">
        <is>
          <t>—</t>
        </is>
      </c>
      <c r="F36" s="4" t="inlineStr">
        <is>
          <t>Investment Banking Analyst, Full-Time Analyst</t>
        </is>
      </c>
      <c r="G36" s="4" t="inlineStr">
        <is>
          <t>No</t>
        </is>
      </c>
      <c r="H36" s="4" t="n">
        <v>0</v>
      </c>
      <c r="I36" s="4" t="inlineStr">
        <is>
          <t>—</t>
        </is>
      </c>
      <c r="J36" s="4" t="inlineStr">
        <is>
          <t>—</t>
        </is>
      </c>
      <c r="K36" s="4" t="inlineStr">
        <is>
          <t>Direct Website</t>
        </is>
      </c>
      <c r="L36" s="4" t="inlineStr">
        <is>
          <t>High</t>
        </is>
      </c>
      <c r="M36" s="4" t="inlineStr"/>
    </row>
  </sheetData>
  <autoFilter ref="A3:M36"/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2026-09-01T19:50:09Z</dcterms:created>
  <dcterms:modified xsi:type="dcterms:W3CDTF">2026-09-01T19:54:09Z</dcterms:modified>
</cp:coreProperties>
</file>